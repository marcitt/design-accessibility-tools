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marci/Documents/GitHub/design-accessibility-tools/3-Workflow-Analysis/"/>
    </mc:Choice>
  </mc:AlternateContent>
  <xr:revisionPtr revIDLastSave="0" documentId="13_ncr:1_{230123F9-E042-5C48-858C-84ACCB54D0B0}" xr6:coauthVersionLast="47" xr6:coauthVersionMax="47" xr10:uidLastSave="{00000000-0000-0000-0000-000000000000}"/>
  <bookViews>
    <workbookView xWindow="0" yWindow="760" windowWidth="29400" windowHeight="17340" firstSheet="2" activeTab="11" xr2:uid="{00000000-000D-0000-FFFF-FFFF00000000}"/>
  </bookViews>
  <sheets>
    <sheet name="TEMPLATE" sheetId="1" r:id="rId1"/>
    <sheet name="Video-1-Sample-1" sheetId="2" r:id="rId2"/>
    <sheet name="Video-2-Sample-1" sheetId="3" r:id="rId3"/>
    <sheet name="Video-3-Sample-1" sheetId="4" r:id="rId4"/>
    <sheet name="Video-4-Sample-1" sheetId="5" r:id="rId5"/>
    <sheet name="Video-5-Sample-1" sheetId="6" r:id="rId6"/>
    <sheet name="Video-6-Sample-1" sheetId="7" r:id="rId7"/>
    <sheet name="Video-7-Sample-1" sheetId="8" r:id="rId8"/>
    <sheet name="Video-8-Sample-1" sheetId="9" r:id="rId9"/>
    <sheet name="Video-9-Sample-1" sheetId="10" r:id="rId10"/>
    <sheet name="Video-10-Sample-1" sheetId="11" r:id="rId11"/>
    <sheet name="_lists" sheetId="13"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5" i="11" l="1"/>
  <c r="E25" i="11"/>
  <c r="P25" i="11" s="1"/>
  <c r="Q25" i="11" s="1"/>
  <c r="O24" i="11"/>
  <c r="E24" i="11"/>
  <c r="P24" i="11" s="1"/>
  <c r="Q24" i="11" s="1"/>
  <c r="P23" i="11"/>
  <c r="Q23" i="11" s="1"/>
  <c r="O23" i="11"/>
  <c r="E23" i="11"/>
  <c r="P22" i="11"/>
  <c r="Q22" i="11" s="1"/>
  <c r="O22" i="11"/>
  <c r="O21" i="11"/>
  <c r="E21" i="11"/>
  <c r="P21" i="11" s="1"/>
  <c r="Q21" i="11" s="1"/>
  <c r="P20" i="11"/>
  <c r="Q20" i="11" s="1"/>
  <c r="O20" i="11"/>
  <c r="E20" i="11"/>
  <c r="P19" i="11"/>
  <c r="Q19" i="11" s="1"/>
  <c r="O19" i="11"/>
  <c r="E19" i="11"/>
  <c r="P18" i="11"/>
  <c r="Q18" i="11" s="1"/>
  <c r="O18" i="11"/>
  <c r="P17" i="11"/>
  <c r="Q17" i="11" s="1"/>
  <c r="O17" i="11"/>
  <c r="P16" i="11"/>
  <c r="O16" i="11"/>
  <c r="Q16" i="11" s="1"/>
  <c r="O15" i="11"/>
  <c r="E15" i="11"/>
  <c r="P15" i="11" s="1"/>
  <c r="Q15" i="11" s="1"/>
  <c r="P14" i="11"/>
  <c r="O14" i="11"/>
  <c r="Q14" i="11" s="1"/>
  <c r="P13" i="11"/>
  <c r="Q13" i="11" s="1"/>
  <c r="O13" i="11"/>
  <c r="P12" i="11"/>
  <c r="Q12" i="11" s="1"/>
  <c r="O12" i="11"/>
  <c r="P11" i="11"/>
  <c r="Q11" i="11" s="1"/>
  <c r="O11" i="11"/>
  <c r="E11" i="11"/>
  <c r="O10" i="11"/>
  <c r="E10" i="11"/>
  <c r="P10" i="11" s="1"/>
  <c r="Q10" i="11" s="1"/>
  <c r="P9" i="11"/>
  <c r="Q9" i="11" s="1"/>
  <c r="O9" i="11"/>
  <c r="E9" i="11"/>
  <c r="Q8" i="11"/>
  <c r="T8" i="11" s="1"/>
  <c r="P8" i="11"/>
  <c r="O8" i="11"/>
  <c r="T7" i="11"/>
  <c r="S7" i="11"/>
  <c r="Q7" i="11"/>
  <c r="R7" i="11" s="1"/>
  <c r="P7" i="11"/>
  <c r="O7" i="11"/>
  <c r="P6" i="11"/>
  <c r="Q6" i="11" s="1"/>
  <c r="O6" i="11"/>
  <c r="O5" i="11"/>
  <c r="E5" i="11"/>
  <c r="P5" i="11" s="1"/>
  <c r="Q5" i="11" s="1"/>
  <c r="P4" i="11"/>
  <c r="Q4" i="11" s="1"/>
  <c r="O4" i="11"/>
  <c r="P3" i="11"/>
  <c r="O3" i="11"/>
  <c r="Q3" i="11" s="1"/>
  <c r="P2" i="11"/>
  <c r="Q2" i="11" s="1"/>
  <c r="O2" i="11"/>
  <c r="P22" i="10"/>
  <c r="Q22" i="10" s="1"/>
  <c r="O22" i="10"/>
  <c r="P21" i="10"/>
  <c r="Q21" i="10" s="1"/>
  <c r="O21" i="10"/>
  <c r="P20" i="10"/>
  <c r="Q20" i="10" s="1"/>
  <c r="O20" i="10"/>
  <c r="E20" i="10"/>
  <c r="P19" i="10"/>
  <c r="Q19" i="10" s="1"/>
  <c r="O19" i="10"/>
  <c r="P18" i="10"/>
  <c r="Q18" i="10" s="1"/>
  <c r="O18" i="10"/>
  <c r="Q17" i="10"/>
  <c r="R17" i="10" s="1"/>
  <c r="P17" i="10"/>
  <c r="O17" i="10"/>
  <c r="E17" i="10"/>
  <c r="O16" i="10"/>
  <c r="E16" i="10"/>
  <c r="P16" i="10" s="1"/>
  <c r="Q16" i="10" s="1"/>
  <c r="P15" i="10"/>
  <c r="Q15" i="10" s="1"/>
  <c r="O15" i="10"/>
  <c r="Q14" i="10"/>
  <c r="R14" i="10" s="1"/>
  <c r="P14" i="10"/>
  <c r="O14" i="10"/>
  <c r="E14" i="10"/>
  <c r="O13" i="10"/>
  <c r="E13" i="10"/>
  <c r="P13" i="10" s="1"/>
  <c r="Q13" i="10" s="1"/>
  <c r="O12" i="10"/>
  <c r="E12" i="10"/>
  <c r="P12" i="10" s="1"/>
  <c r="Q12" i="10" s="1"/>
  <c r="P11" i="10"/>
  <c r="Q11" i="10" s="1"/>
  <c r="O11" i="10"/>
  <c r="O10" i="10"/>
  <c r="E10" i="10"/>
  <c r="P10" i="10" s="1"/>
  <c r="Q10" i="10" s="1"/>
  <c r="O9" i="10"/>
  <c r="E9" i="10"/>
  <c r="P9" i="10" s="1"/>
  <c r="Q9" i="10" s="1"/>
  <c r="P8" i="10"/>
  <c r="Q8" i="10" s="1"/>
  <c r="O8" i="10"/>
  <c r="E8" i="10"/>
  <c r="P7" i="10"/>
  <c r="Q7" i="10" s="1"/>
  <c r="O7" i="10"/>
  <c r="E7" i="10"/>
  <c r="P6" i="10"/>
  <c r="Q6" i="10" s="1"/>
  <c r="O6" i="10"/>
  <c r="E6" i="10"/>
  <c r="O5" i="10"/>
  <c r="E5" i="10"/>
  <c r="P5" i="10" s="1"/>
  <c r="Q5" i="10" s="1"/>
  <c r="P4" i="10"/>
  <c r="Q4" i="10" s="1"/>
  <c r="O4" i="10"/>
  <c r="E4" i="10"/>
  <c r="O3" i="10"/>
  <c r="E3" i="10"/>
  <c r="P3" i="10" s="1"/>
  <c r="Q3" i="10" s="1"/>
  <c r="P2" i="10"/>
  <c r="Q2" i="10" s="1"/>
  <c r="O2" i="10"/>
  <c r="P40" i="8"/>
  <c r="Q40" i="8" s="1"/>
  <c r="O40" i="8"/>
  <c r="P39" i="8"/>
  <c r="Q39" i="8" s="1"/>
  <c r="O39" i="8"/>
  <c r="P38" i="8"/>
  <c r="Q38" i="8" s="1"/>
  <c r="O38" i="8"/>
  <c r="P37" i="8"/>
  <c r="O37" i="8"/>
  <c r="Q37" i="8" s="1"/>
  <c r="P36" i="8"/>
  <c r="Q36" i="8" s="1"/>
  <c r="O36" i="8"/>
  <c r="P35" i="8"/>
  <c r="Q35" i="8" s="1"/>
  <c r="O35" i="8"/>
  <c r="E35" i="8"/>
  <c r="O34" i="8"/>
  <c r="E34" i="8"/>
  <c r="P34" i="8" s="1"/>
  <c r="Q34" i="8" s="1"/>
  <c r="O33" i="8"/>
  <c r="E33" i="8"/>
  <c r="P33" i="8" s="1"/>
  <c r="Q33" i="8" s="1"/>
  <c r="Q32" i="8"/>
  <c r="R32" i="8" s="1"/>
  <c r="P32" i="8"/>
  <c r="O32" i="8"/>
  <c r="E32" i="8"/>
  <c r="O31" i="8"/>
  <c r="E31" i="8"/>
  <c r="P31" i="8" s="1"/>
  <c r="Q31" i="8" s="1"/>
  <c r="O30" i="8"/>
  <c r="E30" i="8"/>
  <c r="P30" i="8" s="1"/>
  <c r="Q30" i="8" s="1"/>
  <c r="P29" i="8"/>
  <c r="Q29" i="8" s="1"/>
  <c r="O29" i="8"/>
  <c r="E29" i="8"/>
  <c r="P28" i="8"/>
  <c r="Q28" i="8" s="1"/>
  <c r="O28" i="8"/>
  <c r="P27" i="8"/>
  <c r="O27" i="8"/>
  <c r="Q27" i="8" s="1"/>
  <c r="Q26" i="8"/>
  <c r="R26" i="8" s="1"/>
  <c r="P26" i="8"/>
  <c r="O26" i="8"/>
  <c r="O25" i="8"/>
  <c r="E25" i="8"/>
  <c r="P25" i="8" s="1"/>
  <c r="Q25" i="8" s="1"/>
  <c r="O24" i="8"/>
  <c r="E24" i="8"/>
  <c r="P24" i="8" s="1"/>
  <c r="Q24" i="8" s="1"/>
  <c r="Q23" i="8"/>
  <c r="R23" i="8" s="1"/>
  <c r="P23" i="8"/>
  <c r="O23" i="8"/>
  <c r="E23" i="8"/>
  <c r="O22" i="8"/>
  <c r="E22" i="8"/>
  <c r="P22" i="8" s="1"/>
  <c r="Q22" i="8" s="1"/>
  <c r="P21" i="8"/>
  <c r="O21" i="8"/>
  <c r="Q21" i="8" s="1"/>
  <c r="E21" i="8"/>
  <c r="P20" i="8"/>
  <c r="Q20" i="8" s="1"/>
  <c r="O20" i="8"/>
  <c r="E20" i="8"/>
  <c r="P19" i="8"/>
  <c r="Q19" i="8" s="1"/>
  <c r="O19" i="8"/>
  <c r="P18" i="8"/>
  <c r="O18" i="8"/>
  <c r="Q18" i="8" s="1"/>
  <c r="E18" i="8"/>
  <c r="P17" i="8"/>
  <c r="Q17" i="8" s="1"/>
  <c r="O17" i="8"/>
  <c r="E17" i="8"/>
  <c r="P16" i="8"/>
  <c r="Q16" i="8" s="1"/>
  <c r="O16" i="8"/>
  <c r="P15" i="8"/>
  <c r="O15" i="8"/>
  <c r="Q15" i="8" s="1"/>
  <c r="E15" i="8"/>
  <c r="P14" i="8"/>
  <c r="Q14" i="8" s="1"/>
  <c r="O14" i="8"/>
  <c r="E14" i="8"/>
  <c r="P13" i="8"/>
  <c r="Q13" i="8" s="1"/>
  <c r="O13" i="8"/>
  <c r="P12" i="8"/>
  <c r="O12" i="8"/>
  <c r="Q12" i="8" s="1"/>
  <c r="Q11" i="8"/>
  <c r="R11" i="8" s="1"/>
  <c r="P11" i="8"/>
  <c r="O11" i="8"/>
  <c r="E11" i="8"/>
  <c r="P10" i="8"/>
  <c r="O10" i="8"/>
  <c r="Q10" i="8" s="1"/>
  <c r="P9" i="8"/>
  <c r="Q9" i="8" s="1"/>
  <c r="O9" i="8"/>
  <c r="P8" i="8"/>
  <c r="Q8" i="8" s="1"/>
  <c r="O8" i="8"/>
  <c r="E8" i="8"/>
  <c r="Q7" i="8"/>
  <c r="T7" i="8" s="1"/>
  <c r="P7" i="8"/>
  <c r="O7" i="8"/>
  <c r="O6" i="8"/>
  <c r="E6" i="8"/>
  <c r="P6" i="8" s="1"/>
  <c r="Q6" i="8" s="1"/>
  <c r="P5" i="8"/>
  <c r="Q5" i="8" s="1"/>
  <c r="O5" i="8"/>
  <c r="P4" i="8"/>
  <c r="Q4" i="8" s="1"/>
  <c r="O4" i="8"/>
  <c r="P3" i="8"/>
  <c r="Q3" i="8" s="1"/>
  <c r="O3" i="8"/>
  <c r="P2" i="8"/>
  <c r="O2" i="8"/>
  <c r="Q2" i="8" s="1"/>
  <c r="P37" i="7"/>
  <c r="Q37" i="7" s="1"/>
  <c r="O37" i="7"/>
  <c r="P36" i="7"/>
  <c r="Q36" i="7" s="1"/>
  <c r="O36" i="7"/>
  <c r="E36" i="7"/>
  <c r="O35" i="7"/>
  <c r="E35" i="7"/>
  <c r="P35" i="7" s="1"/>
  <c r="Q35" i="7" s="1"/>
  <c r="O34" i="7"/>
  <c r="E34" i="7"/>
  <c r="P34" i="7" s="1"/>
  <c r="Q34" i="7" s="1"/>
  <c r="Q33" i="7"/>
  <c r="R33" i="7" s="1"/>
  <c r="P33" i="7"/>
  <c r="O33" i="7"/>
  <c r="O32" i="7"/>
  <c r="E32" i="7"/>
  <c r="P32" i="7" s="1"/>
  <c r="Q32" i="7" s="1"/>
  <c r="P31" i="7"/>
  <c r="Q31" i="7" s="1"/>
  <c r="O31" i="7"/>
  <c r="P30" i="7"/>
  <c r="Q30" i="7" s="1"/>
  <c r="O30" i="7"/>
  <c r="P29" i="7"/>
  <c r="Q29" i="7" s="1"/>
  <c r="O29" i="7"/>
  <c r="E29" i="7"/>
  <c r="O28" i="7"/>
  <c r="E28" i="7"/>
  <c r="P28" i="7" s="1"/>
  <c r="Q28" i="7" s="1"/>
  <c r="P27" i="7"/>
  <c r="Q27" i="7" s="1"/>
  <c r="O27" i="7"/>
  <c r="E27" i="7"/>
  <c r="Q26" i="7"/>
  <c r="T26" i="7" s="1"/>
  <c r="P26" i="7"/>
  <c r="O26" i="7"/>
  <c r="S25" i="7"/>
  <c r="Q25" i="7"/>
  <c r="T25" i="7" s="1"/>
  <c r="P25" i="7"/>
  <c r="O25" i="7"/>
  <c r="P24" i="7"/>
  <c r="Q24" i="7" s="1"/>
  <c r="O24" i="7"/>
  <c r="P23" i="7"/>
  <c r="Q23" i="7" s="1"/>
  <c r="O23" i="7"/>
  <c r="Q22" i="7"/>
  <c r="R22" i="7" s="1"/>
  <c r="P22" i="7"/>
  <c r="O22" i="7"/>
  <c r="Q21" i="7"/>
  <c r="T21" i="7" s="1"/>
  <c r="P21" i="7"/>
  <c r="O21" i="7"/>
  <c r="S20" i="7"/>
  <c r="Q20" i="7"/>
  <c r="T20" i="7" s="1"/>
  <c r="P20" i="7"/>
  <c r="O20" i="7"/>
  <c r="P19" i="7"/>
  <c r="Q19" i="7" s="1"/>
  <c r="O19" i="7"/>
  <c r="E19" i="7"/>
  <c r="P18" i="7"/>
  <c r="Q18" i="7" s="1"/>
  <c r="O18" i="7"/>
  <c r="E18" i="7"/>
  <c r="S17" i="7"/>
  <c r="Q17" i="7"/>
  <c r="T17" i="7" s="1"/>
  <c r="P17" i="7"/>
  <c r="O17" i="7"/>
  <c r="P16" i="7"/>
  <c r="Q16" i="7" s="1"/>
  <c r="O16" i="7"/>
  <c r="P15" i="7"/>
  <c r="Q15" i="7" s="1"/>
  <c r="O15" i="7"/>
  <c r="Q14" i="7"/>
  <c r="R14" i="7" s="1"/>
  <c r="P14" i="7"/>
  <c r="O14" i="7"/>
  <c r="E14" i="7"/>
  <c r="P13" i="7"/>
  <c r="O13" i="7"/>
  <c r="Q13" i="7" s="1"/>
  <c r="P12" i="7"/>
  <c r="Q12" i="7" s="1"/>
  <c r="O12" i="7"/>
  <c r="P11" i="7"/>
  <c r="Q11" i="7" s="1"/>
  <c r="O11" i="7"/>
  <c r="E11" i="7"/>
  <c r="O10" i="7"/>
  <c r="E10" i="7"/>
  <c r="P10" i="7" s="1"/>
  <c r="Q10" i="7" s="1"/>
  <c r="O9" i="7"/>
  <c r="E9" i="7"/>
  <c r="P9" i="7" s="1"/>
  <c r="Q9" i="7" s="1"/>
  <c r="Q8" i="7"/>
  <c r="R8" i="7" s="1"/>
  <c r="P8" i="7"/>
  <c r="O8" i="7"/>
  <c r="E8" i="7"/>
  <c r="O7" i="7"/>
  <c r="E7" i="7"/>
  <c r="P7" i="7" s="1"/>
  <c r="Q7" i="7" s="1"/>
  <c r="P6" i="7"/>
  <c r="Q6" i="7" s="1"/>
  <c r="O6" i="7"/>
  <c r="Q5" i="7"/>
  <c r="R5" i="7" s="1"/>
  <c r="P5" i="7"/>
  <c r="O5" i="7"/>
  <c r="O4" i="7"/>
  <c r="E4" i="7"/>
  <c r="P4" i="7" s="1"/>
  <c r="Q4" i="7" s="1"/>
  <c r="O3" i="7"/>
  <c r="E3" i="7"/>
  <c r="P3" i="7" s="1"/>
  <c r="Q3" i="7" s="1"/>
  <c r="Q2" i="7"/>
  <c r="R2" i="7" s="1"/>
  <c r="P2" i="7"/>
  <c r="O2" i="7"/>
  <c r="E2" i="7"/>
  <c r="P44" i="6"/>
  <c r="Q44" i="6" s="1"/>
  <c r="O44" i="6"/>
  <c r="E44" i="6"/>
  <c r="P43" i="6"/>
  <c r="Q43" i="6" s="1"/>
  <c r="O43" i="6"/>
  <c r="E43" i="6"/>
  <c r="T42" i="6"/>
  <c r="P42" i="6"/>
  <c r="Q42" i="6" s="1"/>
  <c r="R42" i="6" s="1"/>
  <c r="O42" i="6"/>
  <c r="P41" i="6"/>
  <c r="Q41" i="6" s="1"/>
  <c r="O41" i="6"/>
  <c r="E41" i="6"/>
  <c r="P40" i="6"/>
  <c r="O40" i="6"/>
  <c r="E40" i="6"/>
  <c r="S39" i="6"/>
  <c r="P39" i="6"/>
  <c r="Q39" i="6" s="1"/>
  <c r="O39" i="6"/>
  <c r="E39" i="6"/>
  <c r="Q38" i="6"/>
  <c r="P38" i="6"/>
  <c r="O38" i="6"/>
  <c r="E38" i="6"/>
  <c r="T37" i="6"/>
  <c r="P37" i="6"/>
  <c r="Q37" i="6" s="1"/>
  <c r="R37" i="6" s="1"/>
  <c r="O37" i="6"/>
  <c r="R36" i="6"/>
  <c r="P36" i="6"/>
  <c r="Q36" i="6" s="1"/>
  <c r="O36" i="6"/>
  <c r="S35" i="6"/>
  <c r="R35" i="6"/>
  <c r="O35" i="6"/>
  <c r="E35" i="6"/>
  <c r="P35" i="6" s="1"/>
  <c r="Q35" i="6" s="1"/>
  <c r="T35" i="6" s="1"/>
  <c r="P34" i="6"/>
  <c r="O34" i="6"/>
  <c r="R33" i="6"/>
  <c r="Q33" i="6"/>
  <c r="O33" i="6"/>
  <c r="E33" i="6"/>
  <c r="P33" i="6" s="1"/>
  <c r="R32" i="6"/>
  <c r="P32" i="6"/>
  <c r="Q32" i="6" s="1"/>
  <c r="O32" i="6"/>
  <c r="E32" i="6"/>
  <c r="R31" i="6"/>
  <c r="P31" i="6"/>
  <c r="Q31" i="6" s="1"/>
  <c r="O31" i="6"/>
  <c r="Q30" i="6"/>
  <c r="O30" i="6"/>
  <c r="E30" i="6"/>
  <c r="P30" i="6" s="1"/>
  <c r="P29" i="6"/>
  <c r="O29" i="6"/>
  <c r="E29" i="6"/>
  <c r="P28" i="6"/>
  <c r="Q28" i="6" s="1"/>
  <c r="O28" i="6"/>
  <c r="O27" i="6"/>
  <c r="E27" i="6"/>
  <c r="P27" i="6" s="1"/>
  <c r="Q27" i="6" s="1"/>
  <c r="P26" i="6"/>
  <c r="O26" i="6"/>
  <c r="O25" i="6"/>
  <c r="E25" i="6"/>
  <c r="P25" i="6" s="1"/>
  <c r="Q25" i="6" s="1"/>
  <c r="O24" i="6"/>
  <c r="E24" i="6"/>
  <c r="P24" i="6" s="1"/>
  <c r="Q24" i="6" s="1"/>
  <c r="P23" i="6"/>
  <c r="Q23" i="6" s="1"/>
  <c r="O23" i="6"/>
  <c r="E23" i="6"/>
  <c r="P22" i="6"/>
  <c r="O22" i="6"/>
  <c r="E22" i="6"/>
  <c r="P21" i="6"/>
  <c r="O21" i="6"/>
  <c r="E21" i="6"/>
  <c r="P20" i="6"/>
  <c r="Q20" i="6" s="1"/>
  <c r="O20" i="6"/>
  <c r="E20" i="6"/>
  <c r="P19" i="6"/>
  <c r="Q19" i="6" s="1"/>
  <c r="O19" i="6"/>
  <c r="P18" i="6"/>
  <c r="Q18" i="6" s="1"/>
  <c r="T18" i="6" s="1"/>
  <c r="O18" i="6"/>
  <c r="P17" i="6"/>
  <c r="O17" i="6"/>
  <c r="E17" i="6"/>
  <c r="P16" i="6"/>
  <c r="O16" i="6"/>
  <c r="E16" i="6"/>
  <c r="T15" i="6"/>
  <c r="R15" i="6"/>
  <c r="P15" i="6"/>
  <c r="Q15" i="6" s="1"/>
  <c r="S15" i="6" s="1"/>
  <c r="O15" i="6"/>
  <c r="E15" i="6"/>
  <c r="P14" i="6"/>
  <c r="Q14" i="6" s="1"/>
  <c r="O14" i="6"/>
  <c r="E14" i="6"/>
  <c r="O13" i="6"/>
  <c r="E13" i="6"/>
  <c r="P13" i="6" s="1"/>
  <c r="Q13" i="6" s="1"/>
  <c r="Q12" i="6"/>
  <c r="O12" i="6"/>
  <c r="E12" i="6"/>
  <c r="P12" i="6" s="1"/>
  <c r="P11" i="6"/>
  <c r="Q11" i="6" s="1"/>
  <c r="O11" i="6"/>
  <c r="E11" i="6"/>
  <c r="T10" i="6"/>
  <c r="Q10" i="6"/>
  <c r="P10" i="6"/>
  <c r="O10" i="6"/>
  <c r="P9" i="6"/>
  <c r="Q9" i="6" s="1"/>
  <c r="O9" i="6"/>
  <c r="E9" i="6"/>
  <c r="O8" i="6"/>
  <c r="E8" i="6"/>
  <c r="P8" i="6" s="1"/>
  <c r="Q8" i="6" s="1"/>
  <c r="T7" i="6"/>
  <c r="Q7" i="6"/>
  <c r="S7" i="6" s="1"/>
  <c r="O7" i="6"/>
  <c r="E7" i="6"/>
  <c r="P7" i="6" s="1"/>
  <c r="Q6" i="6"/>
  <c r="P6" i="6"/>
  <c r="O6" i="6"/>
  <c r="P5" i="6"/>
  <c r="O5" i="6"/>
  <c r="E5" i="6"/>
  <c r="Q4" i="6"/>
  <c r="P4" i="6"/>
  <c r="O4" i="6"/>
  <c r="O3" i="6"/>
  <c r="E3" i="6"/>
  <c r="P3" i="6" s="1"/>
  <c r="Q3" i="6" s="1"/>
  <c r="P2" i="6"/>
  <c r="Q2" i="6" s="1"/>
  <c r="O2" i="6"/>
  <c r="E2" i="6"/>
  <c r="P37" i="5"/>
  <c r="O37" i="5"/>
  <c r="Q37" i="5" s="1"/>
  <c r="T36" i="5"/>
  <c r="S36" i="5"/>
  <c r="P36" i="5"/>
  <c r="Q36" i="5" s="1"/>
  <c r="R36" i="5" s="1"/>
  <c r="O36" i="5"/>
  <c r="E36" i="5"/>
  <c r="O35" i="5"/>
  <c r="E35" i="5"/>
  <c r="P35" i="5" s="1"/>
  <c r="Q35" i="5" s="1"/>
  <c r="R34" i="5"/>
  <c r="Q34" i="5"/>
  <c r="O34" i="5"/>
  <c r="E34" i="5"/>
  <c r="P34" i="5" s="1"/>
  <c r="Q33" i="5"/>
  <c r="P33" i="5"/>
  <c r="O33" i="5"/>
  <c r="O32" i="5"/>
  <c r="E32" i="5"/>
  <c r="P32" i="5" s="1"/>
  <c r="Q32" i="5" s="1"/>
  <c r="Q31" i="5"/>
  <c r="O31" i="5"/>
  <c r="E31" i="5"/>
  <c r="P31" i="5" s="1"/>
  <c r="Q30" i="5"/>
  <c r="O30" i="5"/>
  <c r="E30" i="5"/>
  <c r="P30" i="5" s="1"/>
  <c r="P29" i="5"/>
  <c r="O29" i="5"/>
  <c r="Q28" i="5"/>
  <c r="O28" i="5"/>
  <c r="E28" i="5"/>
  <c r="P28" i="5" s="1"/>
  <c r="Q27" i="5"/>
  <c r="P27" i="5"/>
  <c r="O27" i="5"/>
  <c r="P26" i="5"/>
  <c r="O26" i="5"/>
  <c r="Q26" i="5" s="1"/>
  <c r="T25" i="5"/>
  <c r="R25" i="5"/>
  <c r="Q25" i="5"/>
  <c r="S25" i="5" s="1"/>
  <c r="P25" i="5"/>
  <c r="O25" i="5"/>
  <c r="O24" i="5"/>
  <c r="E24" i="5"/>
  <c r="P24" i="5" s="1"/>
  <c r="Q24" i="5" s="1"/>
  <c r="P23" i="5"/>
  <c r="O23" i="5"/>
  <c r="E23" i="5"/>
  <c r="P22" i="5"/>
  <c r="Q22" i="5" s="1"/>
  <c r="O22" i="5"/>
  <c r="E22" i="5"/>
  <c r="O21" i="5"/>
  <c r="E21" i="5"/>
  <c r="P21" i="5" s="1"/>
  <c r="Q21" i="5" s="1"/>
  <c r="P20" i="5"/>
  <c r="Q20" i="5" s="1"/>
  <c r="O20" i="5"/>
  <c r="E20" i="5"/>
  <c r="S19" i="5"/>
  <c r="O19" i="5"/>
  <c r="Q19" i="5" s="1"/>
  <c r="R19" i="5" s="1"/>
  <c r="E19" i="5"/>
  <c r="P19" i="5" s="1"/>
  <c r="S18" i="5"/>
  <c r="P18" i="5"/>
  <c r="Q18" i="5" s="1"/>
  <c r="T18" i="5" s="1"/>
  <c r="O18" i="5"/>
  <c r="E18" i="5"/>
  <c r="P17" i="5"/>
  <c r="O17" i="5"/>
  <c r="T16" i="5"/>
  <c r="S16" i="5"/>
  <c r="R16" i="5"/>
  <c r="O16" i="5"/>
  <c r="E16" i="5"/>
  <c r="P16" i="5" s="1"/>
  <c r="Q16" i="5" s="1"/>
  <c r="P15" i="5"/>
  <c r="O15" i="5"/>
  <c r="P14" i="5"/>
  <c r="Q14" i="5" s="1"/>
  <c r="O14" i="5"/>
  <c r="E14" i="5"/>
  <c r="O13" i="5"/>
  <c r="E13" i="5"/>
  <c r="P13" i="5" s="1"/>
  <c r="Q13" i="5" s="1"/>
  <c r="P12" i="5"/>
  <c r="O12" i="5"/>
  <c r="E12" i="5"/>
  <c r="Q11" i="5"/>
  <c r="S11" i="5" s="1"/>
  <c r="O11" i="5"/>
  <c r="E11" i="5"/>
  <c r="P11" i="5" s="1"/>
  <c r="Q10" i="5"/>
  <c r="O10" i="5"/>
  <c r="E10" i="5"/>
  <c r="P10" i="5" s="1"/>
  <c r="P9" i="5"/>
  <c r="Q9" i="5" s="1"/>
  <c r="O9" i="5"/>
  <c r="E9" i="5"/>
  <c r="O8" i="5"/>
  <c r="E8" i="5"/>
  <c r="P8" i="5" s="1"/>
  <c r="P7" i="5"/>
  <c r="O7" i="5"/>
  <c r="E7" i="5"/>
  <c r="P6" i="5"/>
  <c r="O6" i="5"/>
  <c r="Q6" i="5" s="1"/>
  <c r="E6" i="5"/>
  <c r="P5" i="5"/>
  <c r="O5" i="5"/>
  <c r="E5" i="5"/>
  <c r="P4" i="5"/>
  <c r="Q4" i="5" s="1"/>
  <c r="O4" i="5"/>
  <c r="E4" i="5"/>
  <c r="P3" i="5"/>
  <c r="Q3" i="5" s="1"/>
  <c r="O3" i="5"/>
  <c r="E3" i="5"/>
  <c r="Q2" i="5"/>
  <c r="P2" i="5"/>
  <c r="O2" i="5"/>
  <c r="P67" i="4"/>
  <c r="Q67" i="4" s="1"/>
  <c r="R67" i="4" s="1"/>
  <c r="O67" i="4"/>
  <c r="E67" i="4"/>
  <c r="Q66" i="4"/>
  <c r="P66" i="4"/>
  <c r="O66" i="4"/>
  <c r="E66" i="4"/>
  <c r="Q65" i="4"/>
  <c r="P65" i="4"/>
  <c r="O65" i="4"/>
  <c r="S64" i="4"/>
  <c r="Q64" i="4"/>
  <c r="T64" i="4" s="1"/>
  <c r="P64" i="4"/>
  <c r="O64" i="4"/>
  <c r="E64" i="4"/>
  <c r="T63" i="4"/>
  <c r="O63" i="4"/>
  <c r="E63" i="4"/>
  <c r="P63" i="4" s="1"/>
  <c r="Q63" i="4" s="1"/>
  <c r="P62" i="4"/>
  <c r="O62" i="4"/>
  <c r="P61" i="4"/>
  <c r="Q61" i="4" s="1"/>
  <c r="O61" i="4"/>
  <c r="E61" i="4"/>
  <c r="P60" i="4"/>
  <c r="O60" i="4"/>
  <c r="P59" i="4"/>
  <c r="O59" i="4"/>
  <c r="E59" i="4"/>
  <c r="Q58" i="4"/>
  <c r="P58" i="4"/>
  <c r="O58" i="4"/>
  <c r="R57" i="4"/>
  <c r="P57" i="4"/>
  <c r="O57" i="4"/>
  <c r="Q57" i="4" s="1"/>
  <c r="O56" i="4"/>
  <c r="E56" i="4"/>
  <c r="P56" i="4" s="1"/>
  <c r="P55" i="4"/>
  <c r="O55" i="4"/>
  <c r="E55" i="4"/>
  <c r="S54" i="4"/>
  <c r="Q54" i="4"/>
  <c r="T54" i="4" s="1"/>
  <c r="O54" i="4"/>
  <c r="E54" i="4"/>
  <c r="P54" i="4" s="1"/>
  <c r="S53" i="4"/>
  <c r="O53" i="4"/>
  <c r="E53" i="4"/>
  <c r="P53" i="4" s="1"/>
  <c r="Q53" i="4" s="1"/>
  <c r="S52" i="4"/>
  <c r="R52" i="4"/>
  <c r="P52" i="4"/>
  <c r="Q52" i="4" s="1"/>
  <c r="T52" i="4" s="1"/>
  <c r="O52" i="4"/>
  <c r="E52" i="4"/>
  <c r="P51" i="4"/>
  <c r="O51" i="4"/>
  <c r="O50" i="4"/>
  <c r="E50" i="4"/>
  <c r="P50" i="4" s="1"/>
  <c r="S49" i="4"/>
  <c r="Q49" i="4"/>
  <c r="P49" i="4"/>
  <c r="O49" i="4"/>
  <c r="E49" i="4"/>
  <c r="S48" i="4"/>
  <c r="O48" i="4"/>
  <c r="E48" i="4"/>
  <c r="P48" i="4" s="1"/>
  <c r="Q48" i="4" s="1"/>
  <c r="O47" i="4"/>
  <c r="E47" i="4"/>
  <c r="P47" i="4" s="1"/>
  <c r="Q47" i="4" s="1"/>
  <c r="O46" i="4"/>
  <c r="E46" i="4"/>
  <c r="P46" i="4" s="1"/>
  <c r="Q46" i="4" s="1"/>
  <c r="P45" i="4"/>
  <c r="Q45" i="4" s="1"/>
  <c r="O45" i="4"/>
  <c r="E45" i="4"/>
  <c r="P44" i="4"/>
  <c r="O44" i="4"/>
  <c r="E44" i="4"/>
  <c r="O43" i="4"/>
  <c r="E43" i="4"/>
  <c r="P43" i="4" s="1"/>
  <c r="Q43" i="4" s="1"/>
  <c r="P42" i="4"/>
  <c r="Q42" i="4" s="1"/>
  <c r="O42" i="4"/>
  <c r="E42" i="4"/>
  <c r="P41" i="4"/>
  <c r="O41" i="4"/>
  <c r="S40" i="4"/>
  <c r="R40" i="4"/>
  <c r="O40" i="4"/>
  <c r="E40" i="4"/>
  <c r="P40" i="4" s="1"/>
  <c r="Q40" i="4" s="1"/>
  <c r="T40" i="4" s="1"/>
  <c r="Q39" i="4"/>
  <c r="P39" i="4"/>
  <c r="O39" i="4"/>
  <c r="E39" i="4"/>
  <c r="P38" i="4"/>
  <c r="Q38" i="4" s="1"/>
  <c r="O38" i="4"/>
  <c r="E38" i="4"/>
  <c r="P37" i="4"/>
  <c r="O37" i="4"/>
  <c r="E37" i="4"/>
  <c r="P36" i="4"/>
  <c r="Q36" i="4" s="1"/>
  <c r="O36" i="4"/>
  <c r="S35" i="4"/>
  <c r="Q35" i="4"/>
  <c r="P35" i="4"/>
  <c r="O35" i="4"/>
  <c r="E35" i="4"/>
  <c r="P34" i="4"/>
  <c r="O34" i="4"/>
  <c r="E34" i="4"/>
  <c r="P33" i="4"/>
  <c r="Q33" i="4" s="1"/>
  <c r="O33" i="4"/>
  <c r="E33" i="4"/>
  <c r="P32" i="4"/>
  <c r="Q32" i="4" s="1"/>
  <c r="O32" i="4"/>
  <c r="E32" i="4"/>
  <c r="T31" i="4"/>
  <c r="Q31" i="4"/>
  <c r="O31" i="4"/>
  <c r="E31" i="4"/>
  <c r="P31" i="4" s="1"/>
  <c r="S30" i="4"/>
  <c r="O30" i="4"/>
  <c r="E30" i="4"/>
  <c r="P30" i="4" s="1"/>
  <c r="Q30" i="4" s="1"/>
  <c r="T29" i="4"/>
  <c r="R29" i="4"/>
  <c r="O29" i="4"/>
  <c r="E29" i="4"/>
  <c r="P29" i="4" s="1"/>
  <c r="Q29" i="4" s="1"/>
  <c r="S29" i="4" s="1"/>
  <c r="P28" i="4"/>
  <c r="Q28" i="4" s="1"/>
  <c r="O28" i="4"/>
  <c r="E28" i="4"/>
  <c r="T27" i="4"/>
  <c r="S27" i="4"/>
  <c r="O27" i="4"/>
  <c r="E27" i="4"/>
  <c r="P27" i="4" s="1"/>
  <c r="Q27" i="4" s="1"/>
  <c r="R27" i="4" s="1"/>
  <c r="Q26" i="4"/>
  <c r="P26" i="4"/>
  <c r="O26" i="4"/>
  <c r="R25" i="4"/>
  <c r="Q25" i="4"/>
  <c r="O25" i="4"/>
  <c r="E25" i="4"/>
  <c r="P25" i="4" s="1"/>
  <c r="S24" i="4"/>
  <c r="P24" i="4"/>
  <c r="O24" i="4"/>
  <c r="Q24" i="4" s="1"/>
  <c r="T24" i="4" s="1"/>
  <c r="P23" i="4"/>
  <c r="Q23" i="4" s="1"/>
  <c r="O23" i="4"/>
  <c r="O22" i="4"/>
  <c r="E22" i="4"/>
  <c r="P22" i="4" s="1"/>
  <c r="Q22" i="4" s="1"/>
  <c r="S21" i="4"/>
  <c r="R21" i="4"/>
  <c r="O21" i="4"/>
  <c r="E21" i="4"/>
  <c r="P21" i="4" s="1"/>
  <c r="Q21" i="4" s="1"/>
  <c r="T21" i="4" s="1"/>
  <c r="Q20" i="4"/>
  <c r="O20" i="4"/>
  <c r="E20" i="4"/>
  <c r="P20" i="4" s="1"/>
  <c r="P19" i="4"/>
  <c r="O19" i="4"/>
  <c r="E19" i="4"/>
  <c r="P18" i="4"/>
  <c r="O18" i="4"/>
  <c r="O17" i="4"/>
  <c r="E17" i="4"/>
  <c r="P17" i="4" s="1"/>
  <c r="P16" i="4"/>
  <c r="Q16" i="4" s="1"/>
  <c r="O16" i="4"/>
  <c r="E16" i="4"/>
  <c r="P15" i="4"/>
  <c r="O15" i="4"/>
  <c r="T14" i="4"/>
  <c r="Q14" i="4"/>
  <c r="R14" i="4" s="1"/>
  <c r="P14" i="4"/>
  <c r="O14" i="4"/>
  <c r="P13" i="4"/>
  <c r="Q13" i="4" s="1"/>
  <c r="O13" i="4"/>
  <c r="E13" i="4"/>
  <c r="T12" i="4"/>
  <c r="S12" i="4"/>
  <c r="R12" i="4"/>
  <c r="Q12" i="4"/>
  <c r="P12" i="4"/>
  <c r="O12" i="4"/>
  <c r="P11" i="4"/>
  <c r="Q11" i="4" s="1"/>
  <c r="O11" i="4"/>
  <c r="P10" i="4"/>
  <c r="Q10" i="4" s="1"/>
  <c r="O10" i="4"/>
  <c r="Q9" i="4"/>
  <c r="P9" i="4"/>
  <c r="O9" i="4"/>
  <c r="E9" i="4"/>
  <c r="O8" i="4"/>
  <c r="E8" i="4"/>
  <c r="P8" i="4" s="1"/>
  <c r="Q8" i="4" s="1"/>
  <c r="P7" i="4"/>
  <c r="O7" i="4"/>
  <c r="P6" i="4"/>
  <c r="O6" i="4"/>
  <c r="E6" i="4"/>
  <c r="O5" i="4"/>
  <c r="Q5" i="4" s="1"/>
  <c r="E5" i="4"/>
  <c r="P5" i="4" s="1"/>
  <c r="P4" i="4"/>
  <c r="O4" i="4"/>
  <c r="E4" i="4"/>
  <c r="P3" i="4"/>
  <c r="Q3" i="4" s="1"/>
  <c r="O3" i="4"/>
  <c r="E3" i="4"/>
  <c r="P2" i="4"/>
  <c r="Q2" i="4" s="1"/>
  <c r="O2" i="4"/>
  <c r="E2" i="4"/>
  <c r="P26" i="3"/>
  <c r="Q26" i="3" s="1"/>
  <c r="O26" i="3"/>
  <c r="E26" i="3"/>
  <c r="T25" i="3"/>
  <c r="S25" i="3"/>
  <c r="R25" i="3"/>
  <c r="P25" i="3"/>
  <c r="O25" i="3"/>
  <c r="Q25" i="3" s="1"/>
  <c r="P24" i="3"/>
  <c r="Q24" i="3" s="1"/>
  <c r="O24" i="3"/>
  <c r="E24" i="3"/>
  <c r="R23" i="3"/>
  <c r="O23" i="3"/>
  <c r="E23" i="3"/>
  <c r="P23" i="3" s="1"/>
  <c r="Q23" i="3" s="1"/>
  <c r="Q22" i="3"/>
  <c r="O22" i="3"/>
  <c r="E22" i="3"/>
  <c r="P22" i="3" s="1"/>
  <c r="P21" i="3"/>
  <c r="Q21" i="3" s="1"/>
  <c r="O21" i="3"/>
  <c r="P20" i="3"/>
  <c r="Q20" i="3" s="1"/>
  <c r="O20" i="3"/>
  <c r="E20" i="3"/>
  <c r="T19" i="3"/>
  <c r="S19" i="3"/>
  <c r="Q19" i="3"/>
  <c r="R19" i="3" s="1"/>
  <c r="O19" i="3"/>
  <c r="E19" i="3"/>
  <c r="P19" i="3" s="1"/>
  <c r="P18" i="3"/>
  <c r="O18" i="3"/>
  <c r="P17" i="3"/>
  <c r="Q17" i="3" s="1"/>
  <c r="O17" i="3"/>
  <c r="E17" i="3"/>
  <c r="R16" i="3"/>
  <c r="P16" i="3"/>
  <c r="O16" i="3"/>
  <c r="Q16" i="3" s="1"/>
  <c r="S16" i="3" s="1"/>
  <c r="O15" i="3"/>
  <c r="E15" i="3"/>
  <c r="P15" i="3" s="1"/>
  <c r="Q15" i="3" s="1"/>
  <c r="P14" i="3"/>
  <c r="O14" i="3"/>
  <c r="S13" i="3"/>
  <c r="R13" i="3"/>
  <c r="O13" i="3"/>
  <c r="E13" i="3"/>
  <c r="P13" i="3" s="1"/>
  <c r="Q13" i="3" s="1"/>
  <c r="T13" i="3" s="1"/>
  <c r="P12" i="3"/>
  <c r="O12" i="3"/>
  <c r="Q11" i="3"/>
  <c r="P11" i="3"/>
  <c r="O11" i="3"/>
  <c r="T10" i="3"/>
  <c r="P10" i="3"/>
  <c r="Q10" i="3" s="1"/>
  <c r="R10" i="3" s="1"/>
  <c r="O10" i="3"/>
  <c r="Q9" i="3"/>
  <c r="P9" i="3"/>
  <c r="O9" i="3"/>
  <c r="T8" i="3"/>
  <c r="R8" i="3"/>
  <c r="P8" i="3"/>
  <c r="O8" i="3"/>
  <c r="Q8" i="3" s="1"/>
  <c r="S8" i="3" s="1"/>
  <c r="P7" i="3"/>
  <c r="Q7" i="3" s="1"/>
  <c r="O7" i="3"/>
  <c r="P6" i="3"/>
  <c r="O6" i="3"/>
  <c r="R5" i="3"/>
  <c r="P5" i="3"/>
  <c r="O5" i="3"/>
  <c r="Q5" i="3" s="1"/>
  <c r="T5" i="3" s="1"/>
  <c r="S4" i="3"/>
  <c r="P4" i="3"/>
  <c r="Q4" i="3" s="1"/>
  <c r="O4" i="3"/>
  <c r="S3" i="3"/>
  <c r="P3" i="3"/>
  <c r="O3" i="3"/>
  <c r="Q3" i="3" s="1"/>
  <c r="P2" i="3"/>
  <c r="O2" i="3"/>
  <c r="P52" i="2"/>
  <c r="Q52" i="2" s="1"/>
  <c r="O52" i="2"/>
  <c r="E52" i="2"/>
  <c r="P51" i="2"/>
  <c r="Q51" i="2" s="1"/>
  <c r="O51" i="2"/>
  <c r="E51" i="2"/>
  <c r="Q50" i="2"/>
  <c r="P50" i="2"/>
  <c r="O50" i="2"/>
  <c r="P49" i="2"/>
  <c r="O49" i="2"/>
  <c r="S48" i="2"/>
  <c r="R48" i="2"/>
  <c r="P48" i="2"/>
  <c r="Q48" i="2" s="1"/>
  <c r="T48" i="2" s="1"/>
  <c r="O48" i="2"/>
  <c r="E48" i="2"/>
  <c r="P47" i="2"/>
  <c r="O47" i="2"/>
  <c r="P46" i="2"/>
  <c r="Q46" i="2" s="1"/>
  <c r="O46" i="2"/>
  <c r="E46" i="2"/>
  <c r="Q45" i="2"/>
  <c r="P45" i="2"/>
  <c r="O45" i="2"/>
  <c r="E45" i="2"/>
  <c r="Q44" i="2"/>
  <c r="P44" i="2"/>
  <c r="O44" i="2"/>
  <c r="P43" i="2"/>
  <c r="O43" i="2"/>
  <c r="E43" i="2"/>
  <c r="P42" i="2"/>
  <c r="O42" i="2"/>
  <c r="Q42" i="2" s="1"/>
  <c r="E42" i="2"/>
  <c r="T41" i="2"/>
  <c r="Q41" i="2"/>
  <c r="R41" i="2" s="1"/>
  <c r="P41" i="2"/>
  <c r="O41" i="2"/>
  <c r="P40" i="2"/>
  <c r="O40" i="2"/>
  <c r="T39" i="2"/>
  <c r="R39" i="2"/>
  <c r="P39" i="2"/>
  <c r="O39" i="2"/>
  <c r="Q39" i="2" s="1"/>
  <c r="S39" i="2" s="1"/>
  <c r="P38" i="2"/>
  <c r="O38" i="2"/>
  <c r="E38" i="2"/>
  <c r="T37" i="2"/>
  <c r="S37" i="2"/>
  <c r="P37" i="2"/>
  <c r="O37" i="2"/>
  <c r="Q37" i="2" s="1"/>
  <c r="R37" i="2" s="1"/>
  <c r="P36" i="2"/>
  <c r="O36" i="2"/>
  <c r="E36" i="2"/>
  <c r="Q35" i="2"/>
  <c r="T35" i="2" s="1"/>
  <c r="P35" i="2"/>
  <c r="O35" i="2"/>
  <c r="E35" i="2"/>
  <c r="S34" i="2"/>
  <c r="O34" i="2"/>
  <c r="E34" i="2"/>
  <c r="P34" i="2" s="1"/>
  <c r="Q34" i="2" s="1"/>
  <c r="Q33" i="2"/>
  <c r="P33" i="2"/>
  <c r="O33" i="2"/>
  <c r="O32" i="2"/>
  <c r="E32" i="2"/>
  <c r="P32" i="2" s="1"/>
  <c r="Q32" i="2" s="1"/>
  <c r="O31" i="2"/>
  <c r="Q31" i="2" s="1"/>
  <c r="E31" i="2"/>
  <c r="P31" i="2" s="1"/>
  <c r="P30" i="2"/>
  <c r="Q30" i="2" s="1"/>
  <c r="O30" i="2"/>
  <c r="E30" i="2"/>
  <c r="P29" i="2"/>
  <c r="O29" i="2"/>
  <c r="S28" i="2"/>
  <c r="O28" i="2"/>
  <c r="E28" i="2"/>
  <c r="P28" i="2" s="1"/>
  <c r="Q28" i="2" s="1"/>
  <c r="T27" i="2"/>
  <c r="R27" i="2"/>
  <c r="P27" i="2"/>
  <c r="Q27" i="2" s="1"/>
  <c r="S27" i="2" s="1"/>
  <c r="O27" i="2"/>
  <c r="T26" i="2"/>
  <c r="R26" i="2"/>
  <c r="P26" i="2"/>
  <c r="Q26" i="2" s="1"/>
  <c r="S26" i="2" s="1"/>
  <c r="O26" i="2"/>
  <c r="E26" i="2"/>
  <c r="Q25" i="2"/>
  <c r="R25" i="2" s="1"/>
  <c r="O25" i="2"/>
  <c r="E25" i="2"/>
  <c r="P25" i="2" s="1"/>
  <c r="P24" i="2"/>
  <c r="O24" i="2"/>
  <c r="P23" i="2"/>
  <c r="Q23" i="2" s="1"/>
  <c r="T23" i="2" s="1"/>
  <c r="O23" i="2"/>
  <c r="E23" i="2"/>
  <c r="T22" i="2"/>
  <c r="R22" i="2"/>
  <c r="P22" i="2"/>
  <c r="O22" i="2"/>
  <c r="Q22" i="2" s="1"/>
  <c r="S22" i="2" s="1"/>
  <c r="Q21" i="2"/>
  <c r="P21" i="2"/>
  <c r="O21" i="2"/>
  <c r="P20" i="2"/>
  <c r="O20" i="2"/>
  <c r="P19" i="2"/>
  <c r="O19" i="2"/>
  <c r="Q19" i="2" s="1"/>
  <c r="P18" i="2"/>
  <c r="O18" i="2"/>
  <c r="E18" i="2"/>
  <c r="P17" i="2"/>
  <c r="Q17" i="2" s="1"/>
  <c r="O17" i="2"/>
  <c r="O16" i="2"/>
  <c r="E16" i="2"/>
  <c r="P16" i="2" s="1"/>
  <c r="Q16" i="2" s="1"/>
  <c r="P15" i="2"/>
  <c r="O15" i="2"/>
  <c r="E15" i="2"/>
  <c r="P14" i="2"/>
  <c r="Q14" i="2" s="1"/>
  <c r="O14" i="2"/>
  <c r="E14" i="2"/>
  <c r="P13" i="2"/>
  <c r="O13" i="2"/>
  <c r="E13" i="2"/>
  <c r="P12" i="2"/>
  <c r="Q12" i="2" s="1"/>
  <c r="T12" i="2" s="1"/>
  <c r="O12" i="2"/>
  <c r="E12" i="2"/>
  <c r="P11" i="2"/>
  <c r="Q11" i="2" s="1"/>
  <c r="O11" i="2"/>
  <c r="R10" i="2"/>
  <c r="P10" i="2"/>
  <c r="Q10" i="2" s="1"/>
  <c r="O10" i="2"/>
  <c r="S9" i="2"/>
  <c r="R9" i="2"/>
  <c r="O9" i="2"/>
  <c r="E9" i="2"/>
  <c r="P9" i="2" s="1"/>
  <c r="Q9" i="2" s="1"/>
  <c r="T9" i="2" s="1"/>
  <c r="P8" i="2"/>
  <c r="O8" i="2"/>
  <c r="S7" i="2"/>
  <c r="Q7" i="2"/>
  <c r="R7" i="2" s="1"/>
  <c r="P7" i="2"/>
  <c r="O7" i="2"/>
  <c r="Q6" i="2"/>
  <c r="P6" i="2"/>
  <c r="O6" i="2"/>
  <c r="P5" i="2"/>
  <c r="Q5" i="2" s="1"/>
  <c r="O5" i="2"/>
  <c r="E5" i="2"/>
  <c r="O4" i="2"/>
  <c r="E4" i="2"/>
  <c r="P4" i="2" s="1"/>
  <c r="Q4" i="2" s="1"/>
  <c r="T3" i="2"/>
  <c r="P3" i="2"/>
  <c r="Q3" i="2" s="1"/>
  <c r="S3" i="2" s="1"/>
  <c r="O3" i="2"/>
  <c r="E3" i="2"/>
  <c r="T2" i="2"/>
  <c r="O2" i="2"/>
  <c r="E2" i="2"/>
  <c r="P2" i="2" s="1"/>
  <c r="Q2" i="2" s="1"/>
  <c r="T200" i="1"/>
  <c r="Q200" i="1"/>
  <c r="S200" i="1" s="1"/>
  <c r="P200" i="1"/>
  <c r="O200" i="1"/>
  <c r="Q199" i="1"/>
  <c r="P199" i="1"/>
  <c r="O199" i="1"/>
  <c r="S198" i="1"/>
  <c r="P198" i="1"/>
  <c r="Q198" i="1" s="1"/>
  <c r="O198" i="1"/>
  <c r="T197" i="1"/>
  <c r="P197" i="1"/>
  <c r="Q197" i="1" s="1"/>
  <c r="O197" i="1"/>
  <c r="S196" i="1"/>
  <c r="R196" i="1"/>
  <c r="P196" i="1"/>
  <c r="Q196" i="1" s="1"/>
  <c r="T196" i="1" s="1"/>
  <c r="O196" i="1"/>
  <c r="T195" i="1"/>
  <c r="R195" i="1"/>
  <c r="Q195" i="1"/>
  <c r="S195" i="1" s="1"/>
  <c r="P195" i="1"/>
  <c r="O195" i="1"/>
  <c r="P194" i="1"/>
  <c r="Q194" i="1" s="1"/>
  <c r="O194" i="1"/>
  <c r="S193" i="1"/>
  <c r="Q193" i="1"/>
  <c r="P193" i="1"/>
  <c r="O193" i="1"/>
  <c r="T192" i="1"/>
  <c r="P192" i="1"/>
  <c r="Q192" i="1" s="1"/>
  <c r="O192" i="1"/>
  <c r="S191" i="1"/>
  <c r="R191" i="1"/>
  <c r="P191" i="1"/>
  <c r="Q191" i="1" s="1"/>
  <c r="T191" i="1" s="1"/>
  <c r="O191" i="1"/>
  <c r="T190" i="1"/>
  <c r="R190" i="1"/>
  <c r="Q190" i="1"/>
  <c r="S190" i="1" s="1"/>
  <c r="P190" i="1"/>
  <c r="O190" i="1"/>
  <c r="T189" i="1"/>
  <c r="R189" i="1"/>
  <c r="P189" i="1"/>
  <c r="O189" i="1"/>
  <c r="Q189" i="1" s="1"/>
  <c r="S189" i="1" s="1"/>
  <c r="P188" i="1"/>
  <c r="Q188" i="1" s="1"/>
  <c r="O188" i="1"/>
  <c r="P187" i="1"/>
  <c r="O187" i="1"/>
  <c r="R186" i="1"/>
  <c r="P186" i="1"/>
  <c r="Q186" i="1" s="1"/>
  <c r="O186" i="1"/>
  <c r="T185" i="1"/>
  <c r="S185" i="1"/>
  <c r="R185" i="1"/>
  <c r="P185" i="1"/>
  <c r="O185" i="1"/>
  <c r="Q185" i="1" s="1"/>
  <c r="Q184" i="1"/>
  <c r="P184" i="1"/>
  <c r="O184" i="1"/>
  <c r="T183" i="1"/>
  <c r="S183" i="1"/>
  <c r="P183" i="1"/>
  <c r="Q183" i="1" s="1"/>
  <c r="R183" i="1" s="1"/>
  <c r="O183" i="1"/>
  <c r="P182" i="1"/>
  <c r="O182" i="1"/>
  <c r="P181" i="1"/>
  <c r="Q181" i="1" s="1"/>
  <c r="O181" i="1"/>
  <c r="T180" i="1"/>
  <c r="S180" i="1"/>
  <c r="R180" i="1"/>
  <c r="P180" i="1"/>
  <c r="O180" i="1"/>
  <c r="Q180" i="1" s="1"/>
  <c r="Q179" i="1"/>
  <c r="P179" i="1"/>
  <c r="O179" i="1"/>
  <c r="T178" i="1"/>
  <c r="S178" i="1"/>
  <c r="P178" i="1"/>
  <c r="Q178" i="1" s="1"/>
  <c r="R178" i="1" s="1"/>
  <c r="O178" i="1"/>
  <c r="P177" i="1"/>
  <c r="O177" i="1"/>
  <c r="P176" i="1"/>
  <c r="Q176" i="1" s="1"/>
  <c r="S176" i="1" s="1"/>
  <c r="O176" i="1"/>
  <c r="P175" i="1"/>
  <c r="O175" i="1"/>
  <c r="Q175" i="1" s="1"/>
  <c r="P174" i="1"/>
  <c r="Q174" i="1" s="1"/>
  <c r="O174" i="1"/>
  <c r="P173" i="1"/>
  <c r="Q173" i="1" s="1"/>
  <c r="O173" i="1"/>
  <c r="P172" i="1"/>
  <c r="Q172" i="1" s="1"/>
  <c r="O172" i="1"/>
  <c r="P171" i="1"/>
  <c r="O171" i="1"/>
  <c r="T170" i="1"/>
  <c r="Q170" i="1"/>
  <c r="P170" i="1"/>
  <c r="O170" i="1"/>
  <c r="T169" i="1"/>
  <c r="Q169" i="1"/>
  <c r="S169" i="1" s="1"/>
  <c r="P169" i="1"/>
  <c r="O169" i="1"/>
  <c r="S168" i="1"/>
  <c r="P168" i="1"/>
  <c r="Q168" i="1" s="1"/>
  <c r="O168" i="1"/>
  <c r="T167" i="1"/>
  <c r="S167" i="1"/>
  <c r="R167" i="1"/>
  <c r="Q167" i="1"/>
  <c r="P167" i="1"/>
  <c r="O167" i="1"/>
  <c r="P166" i="1"/>
  <c r="O166" i="1"/>
  <c r="T165" i="1"/>
  <c r="S165" i="1"/>
  <c r="R165" i="1"/>
  <c r="P165" i="1"/>
  <c r="O165" i="1"/>
  <c r="Q165" i="1" s="1"/>
  <c r="P164" i="1"/>
  <c r="O164" i="1"/>
  <c r="T163" i="1"/>
  <c r="S163" i="1"/>
  <c r="R163" i="1"/>
  <c r="P163" i="1"/>
  <c r="Q163" i="1" s="1"/>
  <c r="O163" i="1"/>
  <c r="P162" i="1"/>
  <c r="O162" i="1"/>
  <c r="T161" i="1"/>
  <c r="R161" i="1"/>
  <c r="P161" i="1"/>
  <c r="Q161" i="1" s="1"/>
  <c r="S161" i="1" s="1"/>
  <c r="O161" i="1"/>
  <c r="P160" i="1"/>
  <c r="Q160" i="1" s="1"/>
  <c r="O160" i="1"/>
  <c r="Q159" i="1"/>
  <c r="P159" i="1"/>
  <c r="O159" i="1"/>
  <c r="R158" i="1"/>
  <c r="P158" i="1"/>
  <c r="Q158" i="1" s="1"/>
  <c r="O158" i="1"/>
  <c r="T157" i="1"/>
  <c r="S157" i="1"/>
  <c r="P157" i="1"/>
  <c r="Q157" i="1" s="1"/>
  <c r="R157" i="1" s="1"/>
  <c r="O157" i="1"/>
  <c r="P156" i="1"/>
  <c r="O156" i="1"/>
  <c r="P155" i="1"/>
  <c r="Q155" i="1" s="1"/>
  <c r="O155" i="1"/>
  <c r="P154" i="1"/>
  <c r="O154" i="1"/>
  <c r="R153" i="1"/>
  <c r="P153" i="1"/>
  <c r="Q153" i="1" s="1"/>
  <c r="S153" i="1" s="1"/>
  <c r="O153" i="1"/>
  <c r="Q152" i="1"/>
  <c r="P152" i="1"/>
  <c r="O152" i="1"/>
  <c r="R151" i="1"/>
  <c r="P151" i="1"/>
  <c r="Q151" i="1" s="1"/>
  <c r="T151" i="1" s="1"/>
  <c r="O151" i="1"/>
  <c r="Q150" i="1"/>
  <c r="P150" i="1"/>
  <c r="O150" i="1"/>
  <c r="P149" i="1"/>
  <c r="Q149" i="1" s="1"/>
  <c r="O149" i="1"/>
  <c r="T148" i="1"/>
  <c r="S148" i="1"/>
  <c r="R148" i="1"/>
  <c r="P148" i="1"/>
  <c r="Q148" i="1" s="1"/>
  <c r="O148" i="1"/>
  <c r="P147" i="1"/>
  <c r="O147" i="1"/>
  <c r="P146" i="1"/>
  <c r="Q146" i="1" s="1"/>
  <c r="O146" i="1"/>
  <c r="S145" i="1"/>
  <c r="Q145" i="1"/>
  <c r="R145" i="1" s="1"/>
  <c r="P145" i="1"/>
  <c r="O145" i="1"/>
  <c r="P144" i="1"/>
  <c r="O144" i="1"/>
  <c r="R143" i="1"/>
  <c r="P143" i="1"/>
  <c r="Q143" i="1" s="1"/>
  <c r="O143" i="1"/>
  <c r="T142" i="1"/>
  <c r="P142" i="1"/>
  <c r="Q142" i="1" s="1"/>
  <c r="R142" i="1" s="1"/>
  <c r="O142" i="1"/>
  <c r="P141" i="1"/>
  <c r="O141" i="1"/>
  <c r="T140" i="1"/>
  <c r="Q140" i="1"/>
  <c r="P140" i="1"/>
  <c r="O140" i="1"/>
  <c r="T139" i="1"/>
  <c r="P139" i="1"/>
  <c r="Q139" i="1" s="1"/>
  <c r="S139" i="1" s="1"/>
  <c r="O139" i="1"/>
  <c r="P138" i="1"/>
  <c r="Q138" i="1" s="1"/>
  <c r="O138" i="1"/>
  <c r="P137" i="1"/>
  <c r="O137" i="1"/>
  <c r="P136" i="1"/>
  <c r="O136" i="1"/>
  <c r="P135" i="1"/>
  <c r="Q135" i="1" s="1"/>
  <c r="O135" i="1"/>
  <c r="Q134" i="1"/>
  <c r="P134" i="1"/>
  <c r="O134" i="1"/>
  <c r="Q133" i="1"/>
  <c r="T133" i="1" s="1"/>
  <c r="P133" i="1"/>
  <c r="O133" i="1"/>
  <c r="P132" i="1"/>
  <c r="O132" i="1"/>
  <c r="P131" i="1"/>
  <c r="O131" i="1"/>
  <c r="P130" i="1"/>
  <c r="O130" i="1"/>
  <c r="P129" i="1"/>
  <c r="Q129" i="1" s="1"/>
  <c r="O129" i="1"/>
  <c r="P128" i="1"/>
  <c r="Q128" i="1" s="1"/>
  <c r="O128" i="1"/>
  <c r="Q127" i="1"/>
  <c r="P127" i="1"/>
  <c r="O127" i="1"/>
  <c r="T126" i="1"/>
  <c r="P126" i="1"/>
  <c r="Q126" i="1" s="1"/>
  <c r="O126" i="1"/>
  <c r="P125" i="1"/>
  <c r="O125" i="1"/>
  <c r="Q125" i="1" s="1"/>
  <c r="R125" i="1" s="1"/>
  <c r="Q124" i="1"/>
  <c r="P124" i="1"/>
  <c r="O124" i="1"/>
  <c r="T123" i="1"/>
  <c r="S123" i="1"/>
  <c r="R123" i="1"/>
  <c r="P123" i="1"/>
  <c r="Q123" i="1" s="1"/>
  <c r="O123" i="1"/>
  <c r="P122" i="1"/>
  <c r="O122" i="1"/>
  <c r="P121" i="1"/>
  <c r="Q121" i="1" s="1"/>
  <c r="O121" i="1"/>
  <c r="P120" i="1"/>
  <c r="O120" i="1"/>
  <c r="P119" i="1"/>
  <c r="O119" i="1"/>
  <c r="Q119" i="1" s="1"/>
  <c r="P118" i="1"/>
  <c r="Q118" i="1" s="1"/>
  <c r="O118" i="1"/>
  <c r="Q117" i="1"/>
  <c r="P117" i="1"/>
  <c r="O117" i="1"/>
  <c r="P116" i="1"/>
  <c r="O116" i="1"/>
  <c r="P115" i="1"/>
  <c r="O115" i="1"/>
  <c r="P114" i="1"/>
  <c r="Q114" i="1" s="1"/>
  <c r="O114" i="1"/>
  <c r="T113" i="1"/>
  <c r="S113" i="1"/>
  <c r="R113" i="1"/>
  <c r="P113" i="1"/>
  <c r="Q113" i="1" s="1"/>
  <c r="O113" i="1"/>
  <c r="P112" i="1"/>
  <c r="O112" i="1"/>
  <c r="Q112" i="1" s="1"/>
  <c r="P111" i="1"/>
  <c r="O111" i="1"/>
  <c r="P110" i="1"/>
  <c r="Q110" i="1" s="1"/>
  <c r="O110" i="1"/>
  <c r="T109" i="1"/>
  <c r="R109" i="1"/>
  <c r="P109" i="1"/>
  <c r="Q109" i="1" s="1"/>
  <c r="S109" i="1" s="1"/>
  <c r="O109" i="1"/>
  <c r="S108" i="1"/>
  <c r="R108" i="1"/>
  <c r="P108" i="1"/>
  <c r="Q108" i="1" s="1"/>
  <c r="T108" i="1" s="1"/>
  <c r="O108" i="1"/>
  <c r="T107" i="1"/>
  <c r="P107" i="1"/>
  <c r="Q107" i="1" s="1"/>
  <c r="O107" i="1"/>
  <c r="S106" i="1"/>
  <c r="R106" i="1"/>
  <c r="P106" i="1"/>
  <c r="Q106" i="1" s="1"/>
  <c r="T106" i="1" s="1"/>
  <c r="O106" i="1"/>
  <c r="P105" i="1"/>
  <c r="Q105" i="1" s="1"/>
  <c r="O105" i="1"/>
  <c r="P104" i="1"/>
  <c r="O104" i="1"/>
  <c r="T103" i="1"/>
  <c r="P103" i="1"/>
  <c r="Q103" i="1" s="1"/>
  <c r="O103" i="1"/>
  <c r="T102" i="1"/>
  <c r="S102" i="1"/>
  <c r="R102" i="1"/>
  <c r="Q102" i="1"/>
  <c r="P102" i="1"/>
  <c r="O102" i="1"/>
  <c r="P101" i="1"/>
  <c r="O101" i="1"/>
  <c r="Q100" i="1"/>
  <c r="T100" i="1" s="1"/>
  <c r="P100" i="1"/>
  <c r="O100" i="1"/>
  <c r="P99" i="1"/>
  <c r="O99" i="1"/>
  <c r="P98" i="1"/>
  <c r="Q98" i="1" s="1"/>
  <c r="O98" i="1"/>
  <c r="P97" i="1"/>
  <c r="Q97" i="1" s="1"/>
  <c r="O97" i="1"/>
  <c r="T96" i="1"/>
  <c r="P96" i="1"/>
  <c r="Q96" i="1" s="1"/>
  <c r="S96" i="1" s="1"/>
  <c r="O96" i="1"/>
  <c r="P95" i="1"/>
  <c r="Q95" i="1" s="1"/>
  <c r="O95" i="1"/>
  <c r="Q94" i="1"/>
  <c r="P94" i="1"/>
  <c r="O94" i="1"/>
  <c r="Q93" i="1"/>
  <c r="P93" i="1"/>
  <c r="O93" i="1"/>
  <c r="P92" i="1"/>
  <c r="O92" i="1"/>
  <c r="P91" i="1"/>
  <c r="O91" i="1"/>
  <c r="T90" i="1"/>
  <c r="S90" i="1"/>
  <c r="P90" i="1"/>
  <c r="Q90" i="1" s="1"/>
  <c r="R90" i="1" s="1"/>
  <c r="O90" i="1"/>
  <c r="P89" i="1"/>
  <c r="O89" i="1"/>
  <c r="T88" i="1"/>
  <c r="S88" i="1"/>
  <c r="P88" i="1"/>
  <c r="Q88" i="1" s="1"/>
  <c r="R88" i="1" s="1"/>
  <c r="O88" i="1"/>
  <c r="Q87" i="1"/>
  <c r="R87" i="1" s="1"/>
  <c r="P87" i="1"/>
  <c r="O87" i="1"/>
  <c r="Q86" i="1"/>
  <c r="P86" i="1"/>
  <c r="O86" i="1"/>
  <c r="P85" i="1"/>
  <c r="Q85" i="1" s="1"/>
  <c r="O85" i="1"/>
  <c r="P84" i="1"/>
  <c r="O84" i="1"/>
  <c r="Q83" i="1"/>
  <c r="R83" i="1" s="1"/>
  <c r="P83" i="1"/>
  <c r="O83" i="1"/>
  <c r="P82" i="1"/>
  <c r="O82" i="1"/>
  <c r="T81" i="1"/>
  <c r="P81" i="1"/>
  <c r="Q81" i="1" s="1"/>
  <c r="R81" i="1" s="1"/>
  <c r="O81" i="1"/>
  <c r="P80" i="1"/>
  <c r="Q80" i="1" s="1"/>
  <c r="O80" i="1"/>
  <c r="P79" i="1"/>
  <c r="Q79" i="1" s="1"/>
  <c r="O79" i="1"/>
  <c r="P78" i="1"/>
  <c r="O78" i="1"/>
  <c r="Q77" i="1"/>
  <c r="P77" i="1"/>
  <c r="O77" i="1"/>
  <c r="Q76" i="1"/>
  <c r="T76" i="1" s="1"/>
  <c r="P76" i="1"/>
  <c r="O76" i="1"/>
  <c r="P75" i="1"/>
  <c r="Q75" i="1" s="1"/>
  <c r="O75" i="1"/>
  <c r="P74" i="1"/>
  <c r="O74" i="1"/>
  <c r="Q73" i="1"/>
  <c r="P73" i="1"/>
  <c r="O73" i="1"/>
  <c r="R72" i="1"/>
  <c r="P72" i="1"/>
  <c r="Q72" i="1" s="1"/>
  <c r="O72" i="1"/>
  <c r="Q71" i="1"/>
  <c r="P71" i="1"/>
  <c r="O71" i="1"/>
  <c r="T70" i="1"/>
  <c r="P70" i="1"/>
  <c r="O70" i="1"/>
  <c r="Q70" i="1" s="1"/>
  <c r="P69" i="1"/>
  <c r="Q69" i="1" s="1"/>
  <c r="O69" i="1"/>
  <c r="P68" i="1"/>
  <c r="Q68" i="1" s="1"/>
  <c r="O68" i="1"/>
  <c r="T67" i="1"/>
  <c r="Q67" i="1"/>
  <c r="S67" i="1" s="1"/>
  <c r="P67" i="1"/>
  <c r="O67" i="1"/>
  <c r="S66" i="1"/>
  <c r="Q66" i="1"/>
  <c r="P66" i="1"/>
  <c r="O66" i="1"/>
  <c r="S65" i="1"/>
  <c r="R65" i="1"/>
  <c r="P65" i="1"/>
  <c r="Q65" i="1" s="1"/>
  <c r="T65" i="1" s="1"/>
  <c r="O65" i="1"/>
  <c r="P64" i="1"/>
  <c r="O64" i="1"/>
  <c r="T63" i="1"/>
  <c r="P63" i="1"/>
  <c r="Q63" i="1" s="1"/>
  <c r="O63" i="1"/>
  <c r="P62" i="1"/>
  <c r="Q62" i="1" s="1"/>
  <c r="T62" i="1" s="1"/>
  <c r="O62" i="1"/>
  <c r="T61" i="1"/>
  <c r="Q61" i="1"/>
  <c r="P61" i="1"/>
  <c r="O61" i="1"/>
  <c r="P60" i="1"/>
  <c r="Q60" i="1" s="1"/>
  <c r="R60" i="1" s="1"/>
  <c r="O60" i="1"/>
  <c r="S59" i="1"/>
  <c r="P59" i="1"/>
  <c r="Q59" i="1" s="1"/>
  <c r="O59" i="1"/>
  <c r="T58" i="1"/>
  <c r="S58" i="1"/>
  <c r="R58" i="1"/>
  <c r="Q58" i="1"/>
  <c r="P58" i="1"/>
  <c r="O58" i="1"/>
  <c r="Q57" i="1"/>
  <c r="T57" i="1" s="1"/>
  <c r="P57" i="1"/>
  <c r="O57" i="1"/>
  <c r="T56" i="1"/>
  <c r="S56" i="1"/>
  <c r="R56" i="1"/>
  <c r="P56" i="1"/>
  <c r="Q56" i="1" s="1"/>
  <c r="O56" i="1"/>
  <c r="Q55" i="1"/>
  <c r="T55" i="1" s="1"/>
  <c r="P55" i="1"/>
  <c r="O55" i="1"/>
  <c r="P54" i="1"/>
  <c r="Q54" i="1" s="1"/>
  <c r="O54" i="1"/>
  <c r="P53" i="1"/>
  <c r="Q53" i="1" s="1"/>
  <c r="O53" i="1"/>
  <c r="P52" i="1"/>
  <c r="O52" i="1"/>
  <c r="Q52" i="1" s="1"/>
  <c r="P51" i="1"/>
  <c r="Q51" i="1" s="1"/>
  <c r="O51" i="1"/>
  <c r="P50" i="1"/>
  <c r="O50" i="1"/>
  <c r="P49" i="1"/>
  <c r="O49" i="1"/>
  <c r="P48" i="1"/>
  <c r="O48" i="1"/>
  <c r="P47" i="1"/>
  <c r="O47" i="1"/>
  <c r="R46" i="1"/>
  <c r="Q46" i="1"/>
  <c r="T46" i="1" s="1"/>
  <c r="P46" i="1"/>
  <c r="O46" i="1"/>
  <c r="Q45" i="1"/>
  <c r="P45" i="1"/>
  <c r="O45" i="1"/>
  <c r="T44" i="1"/>
  <c r="R44" i="1"/>
  <c r="P44" i="1"/>
  <c r="Q44" i="1" s="1"/>
  <c r="S44" i="1" s="1"/>
  <c r="O44" i="1"/>
  <c r="P43" i="1"/>
  <c r="O43" i="1"/>
  <c r="Q42" i="1"/>
  <c r="P42" i="1"/>
  <c r="O42" i="1"/>
  <c r="P41" i="1"/>
  <c r="Q41" i="1" s="1"/>
  <c r="S41" i="1" s="1"/>
  <c r="O41" i="1"/>
  <c r="P40" i="1"/>
  <c r="O40" i="1"/>
  <c r="P39" i="1"/>
  <c r="O39" i="1"/>
  <c r="T38" i="1"/>
  <c r="S38" i="1"/>
  <c r="P38" i="1"/>
  <c r="Q38" i="1" s="1"/>
  <c r="R38" i="1" s="1"/>
  <c r="O38" i="1"/>
  <c r="Q37" i="1"/>
  <c r="S37" i="1" s="1"/>
  <c r="P37" i="1"/>
  <c r="O37" i="1"/>
  <c r="T36" i="1"/>
  <c r="Q36" i="1"/>
  <c r="P36" i="1"/>
  <c r="O36" i="1"/>
  <c r="P35" i="1"/>
  <c r="Q35" i="1" s="1"/>
  <c r="O35" i="1"/>
  <c r="P34" i="1"/>
  <c r="Q34" i="1" s="1"/>
  <c r="O34" i="1"/>
  <c r="R33" i="1"/>
  <c r="Q33" i="1"/>
  <c r="P33" i="1"/>
  <c r="O33" i="1"/>
  <c r="Q32" i="1"/>
  <c r="P32" i="1"/>
  <c r="O32" i="1"/>
  <c r="R31" i="1"/>
  <c r="P31" i="1"/>
  <c r="Q31" i="1" s="1"/>
  <c r="O31" i="1"/>
  <c r="P30" i="1"/>
  <c r="Q30" i="1" s="1"/>
  <c r="O30" i="1"/>
  <c r="P29" i="1"/>
  <c r="Q29" i="1" s="1"/>
  <c r="O29" i="1"/>
  <c r="P28" i="1"/>
  <c r="Q28" i="1" s="1"/>
  <c r="O28" i="1"/>
  <c r="Q27" i="1"/>
  <c r="P27" i="1"/>
  <c r="O27" i="1"/>
  <c r="Q26" i="1"/>
  <c r="T26" i="1" s="1"/>
  <c r="P26" i="1"/>
  <c r="O26" i="1"/>
  <c r="Q25" i="1"/>
  <c r="P25" i="1"/>
  <c r="O25" i="1"/>
  <c r="P24" i="1"/>
  <c r="O24" i="1"/>
  <c r="T23" i="1"/>
  <c r="Q23" i="1"/>
  <c r="S23" i="1" s="1"/>
  <c r="P23" i="1"/>
  <c r="O23" i="1"/>
  <c r="P22" i="1"/>
  <c r="O22" i="1"/>
  <c r="P21" i="1"/>
  <c r="Q21" i="1" s="1"/>
  <c r="O21" i="1"/>
  <c r="P20" i="1"/>
  <c r="O20" i="1"/>
  <c r="Q20" i="1" s="1"/>
  <c r="S19" i="1"/>
  <c r="P19" i="1"/>
  <c r="Q19" i="1" s="1"/>
  <c r="T19" i="1" s="1"/>
  <c r="O19" i="1"/>
  <c r="P18" i="1"/>
  <c r="O18" i="1"/>
  <c r="Q17" i="1"/>
  <c r="S17" i="1" s="1"/>
  <c r="P17" i="1"/>
  <c r="O17" i="1"/>
  <c r="Q16" i="1"/>
  <c r="P16" i="1"/>
  <c r="O16" i="1"/>
  <c r="T15" i="1"/>
  <c r="P15" i="1"/>
  <c r="Q15" i="1" s="1"/>
  <c r="S15" i="1" s="1"/>
  <c r="O15" i="1"/>
  <c r="S14" i="1"/>
  <c r="P14" i="1"/>
  <c r="Q14" i="1" s="1"/>
  <c r="T14" i="1" s="1"/>
  <c r="O14" i="1"/>
  <c r="P13" i="1"/>
  <c r="Q13" i="1" s="1"/>
  <c r="O13" i="1"/>
  <c r="P12" i="1"/>
  <c r="Q12" i="1" s="1"/>
  <c r="O12" i="1"/>
  <c r="Q11" i="1"/>
  <c r="P11" i="1"/>
  <c r="O11" i="1"/>
  <c r="T10" i="1"/>
  <c r="Q10" i="1"/>
  <c r="S10" i="1" s="1"/>
  <c r="P10" i="1"/>
  <c r="O10" i="1"/>
  <c r="P9" i="1"/>
  <c r="O9" i="1"/>
  <c r="P8" i="1"/>
  <c r="O8" i="1"/>
  <c r="Q8" i="1" s="1"/>
  <c r="P7" i="1"/>
  <c r="O7" i="1"/>
  <c r="S6" i="1"/>
  <c r="P6" i="1"/>
  <c r="Q6" i="1" s="1"/>
  <c r="T6" i="1" s="1"/>
  <c r="O6" i="1"/>
  <c r="P5" i="1"/>
  <c r="O5" i="1"/>
  <c r="R4" i="1"/>
  <c r="P4" i="1"/>
  <c r="Q4" i="1" s="1"/>
  <c r="S4" i="1" s="1"/>
  <c r="O4" i="1"/>
  <c r="P3" i="1"/>
  <c r="Q3" i="1" s="1"/>
  <c r="R3" i="1" s="1"/>
  <c r="O3" i="1"/>
  <c r="P2" i="1"/>
  <c r="O2" i="1"/>
  <c r="Q2" i="1" s="1"/>
  <c r="T58" i="9"/>
  <c r="S58" i="9"/>
  <c r="P58" i="9"/>
  <c r="Q58" i="9" s="1"/>
  <c r="R58" i="9" s="1"/>
  <c r="O58" i="9"/>
  <c r="P57" i="9"/>
  <c r="Q57" i="9" s="1"/>
  <c r="O57" i="9"/>
  <c r="P56" i="9"/>
  <c r="O56" i="9"/>
  <c r="Q55" i="9"/>
  <c r="S55" i="9" s="1"/>
  <c r="P55" i="9"/>
  <c r="O55" i="9"/>
  <c r="P54" i="9"/>
  <c r="O54" i="9"/>
  <c r="E54" i="9"/>
  <c r="Q53" i="9"/>
  <c r="T53" i="9" s="1"/>
  <c r="P53" i="9"/>
  <c r="O53" i="9"/>
  <c r="P52" i="9"/>
  <c r="Q52" i="9" s="1"/>
  <c r="O52" i="9"/>
  <c r="O51" i="9"/>
  <c r="E51" i="9"/>
  <c r="P51" i="9" s="1"/>
  <c r="Q51" i="9" s="1"/>
  <c r="O50" i="9"/>
  <c r="E50" i="9"/>
  <c r="P50" i="9" s="1"/>
  <c r="Q50" i="9" s="1"/>
  <c r="T49" i="9"/>
  <c r="Q49" i="9"/>
  <c r="S49" i="9" s="1"/>
  <c r="P49" i="9"/>
  <c r="O49" i="9"/>
  <c r="P48" i="9"/>
  <c r="Q48" i="9" s="1"/>
  <c r="O48" i="9"/>
  <c r="E48" i="9"/>
  <c r="T47" i="9"/>
  <c r="Q47" i="9"/>
  <c r="R47" i="9" s="1"/>
  <c r="P47" i="9"/>
  <c r="O47" i="9"/>
  <c r="T46" i="9"/>
  <c r="P46" i="9"/>
  <c r="Q46" i="9" s="1"/>
  <c r="S46" i="9" s="1"/>
  <c r="O46" i="9"/>
  <c r="E46" i="9"/>
  <c r="P45" i="9"/>
  <c r="O45" i="9"/>
  <c r="P44" i="9"/>
  <c r="O44" i="9"/>
  <c r="Q44" i="9" s="1"/>
  <c r="E44" i="9"/>
  <c r="Q43" i="9"/>
  <c r="O43" i="9"/>
  <c r="E43" i="9"/>
  <c r="P43" i="9" s="1"/>
  <c r="O42" i="9"/>
  <c r="E42" i="9"/>
  <c r="P42" i="9" s="1"/>
  <c r="Q42" i="9" s="1"/>
  <c r="Q41" i="9"/>
  <c r="O41" i="9"/>
  <c r="E41" i="9"/>
  <c r="P41" i="9" s="1"/>
  <c r="T40" i="9"/>
  <c r="S40" i="9"/>
  <c r="R40" i="9"/>
  <c r="Q40" i="9"/>
  <c r="P40" i="9"/>
  <c r="O40" i="9"/>
  <c r="P39" i="9"/>
  <c r="Q39" i="9" s="1"/>
  <c r="O39" i="9"/>
  <c r="E39" i="9"/>
  <c r="Q38" i="9"/>
  <c r="R38" i="9" s="1"/>
  <c r="P38" i="9"/>
  <c r="O38" i="9"/>
  <c r="Q37" i="9"/>
  <c r="T37" i="9" s="1"/>
  <c r="P37" i="9"/>
  <c r="O37" i="9"/>
  <c r="E37" i="9"/>
  <c r="P36" i="9"/>
  <c r="O36" i="9"/>
  <c r="T35" i="9"/>
  <c r="S35" i="9"/>
  <c r="R35" i="9"/>
  <c r="Q35" i="9"/>
  <c r="P35" i="9"/>
  <c r="O35" i="9"/>
  <c r="E35" i="9"/>
  <c r="O34" i="9"/>
  <c r="E34" i="9"/>
  <c r="P34" i="9" s="1"/>
  <c r="Q34" i="9" s="1"/>
  <c r="Q33" i="9"/>
  <c r="O33" i="9"/>
  <c r="E33" i="9"/>
  <c r="P33" i="9" s="1"/>
  <c r="Q32" i="9"/>
  <c r="O32" i="9"/>
  <c r="E32" i="9"/>
  <c r="P32" i="9" s="1"/>
  <c r="P31" i="9"/>
  <c r="Q31" i="9" s="1"/>
  <c r="O31" i="9"/>
  <c r="E31" i="9"/>
  <c r="O30" i="9"/>
  <c r="E30" i="9"/>
  <c r="P30" i="9" s="1"/>
  <c r="Q30" i="9" s="1"/>
  <c r="R29" i="9"/>
  <c r="Q29" i="9"/>
  <c r="T29" i="9" s="1"/>
  <c r="O29" i="9"/>
  <c r="E29" i="9"/>
  <c r="P29" i="9" s="1"/>
  <c r="P28" i="9"/>
  <c r="Q28" i="9" s="1"/>
  <c r="O28" i="9"/>
  <c r="E28" i="9"/>
  <c r="Q27" i="9"/>
  <c r="P27" i="9"/>
  <c r="O27" i="9"/>
  <c r="E27" i="9"/>
  <c r="P26" i="9"/>
  <c r="Q26" i="9" s="1"/>
  <c r="T26" i="9" s="1"/>
  <c r="O26" i="9"/>
  <c r="R25" i="9"/>
  <c r="P25" i="9"/>
  <c r="Q25" i="9" s="1"/>
  <c r="T25" i="9" s="1"/>
  <c r="O25" i="9"/>
  <c r="E25" i="9"/>
  <c r="O24" i="9"/>
  <c r="Q24" i="9" s="1"/>
  <c r="E24" i="9"/>
  <c r="P24" i="9" s="1"/>
  <c r="R23" i="9"/>
  <c r="P23" i="9"/>
  <c r="Q23" i="9" s="1"/>
  <c r="T23" i="9" s="1"/>
  <c r="O23" i="9"/>
  <c r="E23" i="9"/>
  <c r="T22" i="9"/>
  <c r="Q22" i="9"/>
  <c r="S22" i="9" s="1"/>
  <c r="P22" i="9"/>
  <c r="O22" i="9"/>
  <c r="E22" i="9"/>
  <c r="O21" i="9"/>
  <c r="E21" i="9"/>
  <c r="P21" i="9" s="1"/>
  <c r="P20" i="9"/>
  <c r="Q20" i="9" s="1"/>
  <c r="O20" i="9"/>
  <c r="E20" i="9"/>
  <c r="T19" i="9"/>
  <c r="Q19" i="9"/>
  <c r="S19" i="9" s="1"/>
  <c r="P19" i="9"/>
  <c r="O19" i="9"/>
  <c r="P18" i="9"/>
  <c r="Q18" i="9" s="1"/>
  <c r="O18" i="9"/>
  <c r="O17" i="9"/>
  <c r="E17" i="9"/>
  <c r="P17" i="9" s="1"/>
  <c r="Q17" i="9" s="1"/>
  <c r="P16" i="9"/>
  <c r="O16" i="9"/>
  <c r="E16" i="9"/>
  <c r="P15" i="9"/>
  <c r="O15" i="9"/>
  <c r="Q15" i="9" s="1"/>
  <c r="E15" i="9"/>
  <c r="O14" i="9"/>
  <c r="E14" i="9"/>
  <c r="P14" i="9" s="1"/>
  <c r="Q14" i="9" s="1"/>
  <c r="R14" i="9" s="1"/>
  <c r="R13" i="9"/>
  <c r="P13" i="9"/>
  <c r="Q13" i="9" s="1"/>
  <c r="T13" i="9" s="1"/>
  <c r="O13" i="9"/>
  <c r="E13" i="9"/>
  <c r="P12" i="9"/>
  <c r="Q12" i="9" s="1"/>
  <c r="O12" i="9"/>
  <c r="O11" i="9"/>
  <c r="E11" i="9"/>
  <c r="P11" i="9" s="1"/>
  <c r="Q11" i="9" s="1"/>
  <c r="T10" i="9"/>
  <c r="Q10" i="9"/>
  <c r="S10" i="9" s="1"/>
  <c r="O10" i="9"/>
  <c r="E10" i="9"/>
  <c r="P10" i="9" s="1"/>
  <c r="P9" i="9"/>
  <c r="Q9" i="9" s="1"/>
  <c r="O9" i="9"/>
  <c r="E9" i="9"/>
  <c r="Q8" i="9"/>
  <c r="O8" i="9"/>
  <c r="E8" i="9"/>
  <c r="P8" i="9" s="1"/>
  <c r="T7" i="9"/>
  <c r="Q7" i="9"/>
  <c r="S7" i="9" s="1"/>
  <c r="O7" i="9"/>
  <c r="E7" i="9"/>
  <c r="P7" i="9" s="1"/>
  <c r="P6" i="9"/>
  <c r="Q6" i="9" s="1"/>
  <c r="O6" i="9"/>
  <c r="E6" i="9"/>
  <c r="Q5" i="9"/>
  <c r="P5" i="9"/>
  <c r="O5" i="9"/>
  <c r="E5" i="9"/>
  <c r="P4" i="9"/>
  <c r="Q4" i="9" s="1"/>
  <c r="T4" i="9" s="1"/>
  <c r="O4" i="9"/>
  <c r="E4" i="9"/>
  <c r="P3" i="9"/>
  <c r="Q3" i="9" s="1"/>
  <c r="R3" i="9" s="1"/>
  <c r="O3" i="9"/>
  <c r="E3" i="9"/>
  <c r="Q2" i="9"/>
  <c r="R2" i="9" s="1"/>
  <c r="P2" i="9"/>
  <c r="O2" i="9"/>
  <c r="R42" i="9" l="1"/>
  <c r="T42" i="9"/>
  <c r="S42" i="9"/>
  <c r="T18" i="9"/>
  <c r="S18" i="9"/>
  <c r="R18" i="9"/>
  <c r="T24" i="9"/>
  <c r="S24" i="9"/>
  <c r="R24" i="9"/>
  <c r="T53" i="1"/>
  <c r="S53" i="1"/>
  <c r="R53" i="1"/>
  <c r="R31" i="2"/>
  <c r="T31" i="2"/>
  <c r="S31" i="2"/>
  <c r="R11" i="9"/>
  <c r="T11" i="9"/>
  <c r="S11" i="9"/>
  <c r="T8" i="1"/>
  <c r="S8" i="1"/>
  <c r="R8" i="1"/>
  <c r="S85" i="1"/>
  <c r="T85" i="1"/>
  <c r="R85" i="1"/>
  <c r="S129" i="1"/>
  <c r="T129" i="1"/>
  <c r="R129" i="1"/>
  <c r="S194" i="1"/>
  <c r="T194" i="1"/>
  <c r="R194" i="1"/>
  <c r="T34" i="9"/>
  <c r="R34" i="9"/>
  <c r="S34" i="9"/>
  <c r="R39" i="9"/>
  <c r="S39" i="9"/>
  <c r="T39" i="9"/>
  <c r="R48" i="9"/>
  <c r="T48" i="9"/>
  <c r="S48" i="9"/>
  <c r="T30" i="1"/>
  <c r="S30" i="1"/>
  <c r="R30" i="1"/>
  <c r="R95" i="1"/>
  <c r="T95" i="1"/>
  <c r="S95" i="1"/>
  <c r="R155" i="1"/>
  <c r="T155" i="1"/>
  <c r="S155" i="1"/>
  <c r="S175" i="1"/>
  <c r="T175" i="1"/>
  <c r="R175" i="1"/>
  <c r="R188" i="1"/>
  <c r="T188" i="1"/>
  <c r="S188" i="1"/>
  <c r="T15" i="9"/>
  <c r="S15" i="9"/>
  <c r="R15" i="9"/>
  <c r="T31" i="9"/>
  <c r="S31" i="9"/>
  <c r="R31" i="9"/>
  <c r="R57" i="9"/>
  <c r="S57" i="9"/>
  <c r="T57" i="9"/>
  <c r="S28" i="9"/>
  <c r="T28" i="9"/>
  <c r="R28" i="9"/>
  <c r="S12" i="1"/>
  <c r="T12" i="1"/>
  <c r="R12" i="1"/>
  <c r="S20" i="1"/>
  <c r="R20" i="1"/>
  <c r="T20" i="1"/>
  <c r="T35" i="1"/>
  <c r="S35" i="1"/>
  <c r="R35" i="1"/>
  <c r="S149" i="1"/>
  <c r="T149" i="1"/>
  <c r="R149" i="1"/>
  <c r="S12" i="9"/>
  <c r="R12" i="9"/>
  <c r="T12" i="9"/>
  <c r="S50" i="9"/>
  <c r="T50" i="9"/>
  <c r="R50" i="9"/>
  <c r="S119" i="1"/>
  <c r="T119" i="1"/>
  <c r="R119" i="1"/>
  <c r="S172" i="1"/>
  <c r="T172" i="1"/>
  <c r="R172" i="1"/>
  <c r="S44" i="9"/>
  <c r="R44" i="9"/>
  <c r="T44" i="9"/>
  <c r="R28" i="1"/>
  <c r="T28" i="1"/>
  <c r="S28" i="1"/>
  <c r="T135" i="1"/>
  <c r="S135" i="1"/>
  <c r="R135" i="1"/>
  <c r="R5" i="2"/>
  <c r="S5" i="2"/>
  <c r="T5" i="2"/>
  <c r="S6" i="9"/>
  <c r="T6" i="9"/>
  <c r="R6" i="9"/>
  <c r="T9" i="9"/>
  <c r="R9" i="9"/>
  <c r="S9" i="9"/>
  <c r="R51" i="9"/>
  <c r="T51" i="9"/>
  <c r="S51" i="9"/>
  <c r="T21" i="1"/>
  <c r="S21" i="1"/>
  <c r="R21" i="1"/>
  <c r="S51" i="1"/>
  <c r="R51" i="1"/>
  <c r="T51" i="1"/>
  <c r="S112" i="1"/>
  <c r="T112" i="1"/>
  <c r="R112" i="1"/>
  <c r="R16" i="2"/>
  <c r="T16" i="2"/>
  <c r="S16" i="2"/>
  <c r="R17" i="9"/>
  <c r="T17" i="9"/>
  <c r="S17" i="9"/>
  <c r="R20" i="9"/>
  <c r="T20" i="9"/>
  <c r="S20" i="9"/>
  <c r="S2" i="1"/>
  <c r="T2" i="1"/>
  <c r="R2" i="1"/>
  <c r="R75" i="1"/>
  <c r="T75" i="1"/>
  <c r="S75" i="1"/>
  <c r="S30" i="9"/>
  <c r="T30" i="9"/>
  <c r="R30" i="9"/>
  <c r="R13" i="1"/>
  <c r="T13" i="1"/>
  <c r="S32" i="1"/>
  <c r="R32" i="1"/>
  <c r="S45" i="1"/>
  <c r="R45" i="1"/>
  <c r="S69" i="1"/>
  <c r="R69" i="1"/>
  <c r="T80" i="1"/>
  <c r="R80" i="1"/>
  <c r="S94" i="1"/>
  <c r="T94" i="1"/>
  <c r="R97" i="1"/>
  <c r="T97" i="1"/>
  <c r="T14" i="2"/>
  <c r="S14" i="2"/>
  <c r="R14" i="2"/>
  <c r="R42" i="2"/>
  <c r="T42" i="2"/>
  <c r="S42" i="2"/>
  <c r="T22" i="3"/>
  <c r="S22" i="3"/>
  <c r="R22" i="3"/>
  <c r="R10" i="4"/>
  <c r="S10" i="4"/>
  <c r="T10" i="4"/>
  <c r="S2" i="9"/>
  <c r="R4" i="9"/>
  <c r="R26" i="9"/>
  <c r="S32" i="9"/>
  <c r="R32" i="9"/>
  <c r="S38" i="9"/>
  <c r="R53" i="9"/>
  <c r="R55" i="9"/>
  <c r="S3" i="1"/>
  <c r="S13" i="1"/>
  <c r="R25" i="1"/>
  <c r="T25" i="1"/>
  <c r="S27" i="1"/>
  <c r="T27" i="1"/>
  <c r="R27" i="1"/>
  <c r="T32" i="1"/>
  <c r="R37" i="1"/>
  <c r="Q43" i="1"/>
  <c r="T45" i="1"/>
  <c r="Q48" i="1"/>
  <c r="S54" i="1"/>
  <c r="R54" i="1"/>
  <c r="Q64" i="1"/>
  <c r="T69" i="1"/>
  <c r="S80" i="1"/>
  <c r="S83" i="1"/>
  <c r="R94" i="1"/>
  <c r="S97" i="1"/>
  <c r="R100" i="1"/>
  <c r="S114" i="1"/>
  <c r="T114" i="1"/>
  <c r="S117" i="1"/>
  <c r="R117" i="1"/>
  <c r="S138" i="1"/>
  <c r="R138" i="1"/>
  <c r="T138" i="1"/>
  <c r="Q164" i="1"/>
  <c r="S6" i="2"/>
  <c r="T6" i="2"/>
  <c r="R6" i="2"/>
  <c r="R12" i="2"/>
  <c r="R3" i="4"/>
  <c r="T3" i="4"/>
  <c r="S13" i="4"/>
  <c r="R13" i="4"/>
  <c r="T13" i="4"/>
  <c r="R20" i="6"/>
  <c r="T20" i="6"/>
  <c r="S20" i="6"/>
  <c r="T24" i="6"/>
  <c r="R24" i="6"/>
  <c r="S24" i="6"/>
  <c r="S23" i="4"/>
  <c r="R23" i="4"/>
  <c r="T23" i="4"/>
  <c r="T2" i="9"/>
  <c r="S4" i="9"/>
  <c r="S14" i="9"/>
  <c r="Q16" i="9"/>
  <c r="R22" i="9"/>
  <c r="S26" i="9"/>
  <c r="T32" i="9"/>
  <c r="T38" i="9"/>
  <c r="Q45" i="9"/>
  <c r="S53" i="9"/>
  <c r="T55" i="9"/>
  <c r="T3" i="1"/>
  <c r="R6" i="1"/>
  <c r="R23" i="1"/>
  <c r="S25" i="1"/>
  <c r="T37" i="1"/>
  <c r="Q40" i="1"/>
  <c r="T54" i="1"/>
  <c r="S61" i="1"/>
  <c r="R61" i="1"/>
  <c r="S70" i="1"/>
  <c r="R70" i="1"/>
  <c r="Q78" i="1"/>
  <c r="T83" i="1"/>
  <c r="S86" i="1"/>
  <c r="R86" i="1"/>
  <c r="T86" i="1"/>
  <c r="Q92" i="1"/>
  <c r="S100" i="1"/>
  <c r="R114" i="1"/>
  <c r="T117" i="1"/>
  <c r="Q144" i="1"/>
  <c r="Q147" i="1"/>
  <c r="S152" i="1"/>
  <c r="T152" i="1"/>
  <c r="R152" i="1"/>
  <c r="S12" i="2"/>
  <c r="S3" i="4"/>
  <c r="T11" i="4"/>
  <c r="S11" i="4"/>
  <c r="R11" i="4"/>
  <c r="T30" i="4"/>
  <c r="R30" i="4"/>
  <c r="S26" i="5"/>
  <c r="T26" i="5"/>
  <c r="R26" i="5"/>
  <c r="R105" i="1"/>
  <c r="S105" i="1"/>
  <c r="T105" i="1"/>
  <c r="S146" i="1"/>
  <c r="T146" i="1"/>
  <c r="R146" i="1"/>
  <c r="S174" i="1"/>
  <c r="R174" i="1"/>
  <c r="T174" i="1"/>
  <c r="S199" i="1"/>
  <c r="R199" i="1"/>
  <c r="T199" i="1"/>
  <c r="S23" i="2"/>
  <c r="R23" i="2"/>
  <c r="S8" i="9"/>
  <c r="T8" i="9"/>
  <c r="T14" i="9"/>
  <c r="S43" i="9"/>
  <c r="R43" i="9"/>
  <c r="R16" i="1"/>
  <c r="T16" i="1"/>
  <c r="S73" i="1"/>
  <c r="T73" i="1"/>
  <c r="T98" i="1"/>
  <c r="S98" i="1"/>
  <c r="S121" i="1"/>
  <c r="R121" i="1"/>
  <c r="T181" i="1"/>
  <c r="R181" i="1"/>
  <c r="S184" i="1"/>
  <c r="R184" i="1"/>
  <c r="T4" i="2"/>
  <c r="S4" i="2"/>
  <c r="R4" i="2"/>
  <c r="R21" i="2"/>
  <c r="S21" i="2"/>
  <c r="T21" i="2"/>
  <c r="S32" i="2"/>
  <c r="R32" i="2"/>
  <c r="T32" i="2"/>
  <c r="S45" i="2"/>
  <c r="T45" i="2"/>
  <c r="R51" i="2"/>
  <c r="S51" i="2"/>
  <c r="S7" i="3"/>
  <c r="R7" i="3"/>
  <c r="T8" i="4"/>
  <c r="S8" i="4"/>
  <c r="R8" i="4"/>
  <c r="S2" i="5"/>
  <c r="R2" i="5"/>
  <c r="T2" i="5"/>
  <c r="S77" i="1"/>
  <c r="T77" i="1"/>
  <c r="R77" i="1"/>
  <c r="R8" i="9"/>
  <c r="R10" i="9"/>
  <c r="Q21" i="9"/>
  <c r="T43" i="9"/>
  <c r="S47" i="9"/>
  <c r="R49" i="9"/>
  <c r="Q9" i="1"/>
  <c r="R14" i="1"/>
  <c r="S16" i="1"/>
  <c r="R19" i="1"/>
  <c r="T33" i="1"/>
  <c r="S33" i="1"/>
  <c r="S52" i="1"/>
  <c r="T52" i="1"/>
  <c r="R52" i="1"/>
  <c r="R59" i="1"/>
  <c r="T59" i="1"/>
  <c r="R67" i="1"/>
  <c r="R73" i="1"/>
  <c r="S81" i="1"/>
  <c r="Q84" i="1"/>
  <c r="R98" i="1"/>
  <c r="Q115" i="1"/>
  <c r="T118" i="1"/>
  <c r="S118" i="1"/>
  <c r="R118" i="1"/>
  <c r="T121" i="1"/>
  <c r="R139" i="1"/>
  <c r="T150" i="1"/>
  <c r="S150" i="1"/>
  <c r="R150" i="1"/>
  <c r="Q162" i="1"/>
  <c r="S181" i="1"/>
  <c r="T184" i="1"/>
  <c r="S192" i="1"/>
  <c r="R192" i="1"/>
  <c r="R200" i="1"/>
  <c r="S10" i="2"/>
  <c r="T10" i="2"/>
  <c r="R45" i="2"/>
  <c r="T51" i="2"/>
  <c r="T7" i="3"/>
  <c r="S17" i="3"/>
  <c r="T17" i="3"/>
  <c r="S26" i="3"/>
  <c r="R26" i="3"/>
  <c r="T26" i="3"/>
  <c r="S33" i="4"/>
  <c r="T33" i="4"/>
  <c r="R33" i="4"/>
  <c r="S39" i="4"/>
  <c r="R39" i="4"/>
  <c r="T39" i="4"/>
  <c r="S47" i="4"/>
  <c r="R47" i="4"/>
  <c r="T47" i="4"/>
  <c r="R17" i="3"/>
  <c r="S20" i="3"/>
  <c r="T20" i="3"/>
  <c r="R20" i="3"/>
  <c r="R33" i="9"/>
  <c r="T33" i="9"/>
  <c r="S179" i="1"/>
  <c r="R179" i="1"/>
  <c r="S3" i="9"/>
  <c r="S33" i="9"/>
  <c r="R37" i="9"/>
  <c r="T4" i="1"/>
  <c r="Q7" i="1"/>
  <c r="Q22" i="1"/>
  <c r="R26" i="1"/>
  <c r="T31" i="1"/>
  <c r="S31" i="1"/>
  <c r="S36" i="1"/>
  <c r="R36" i="1"/>
  <c r="S46" i="1"/>
  <c r="R55" i="1"/>
  <c r="R76" i="1"/>
  <c r="Q99" i="1"/>
  <c r="Q104" i="1"/>
  <c r="S107" i="1"/>
  <c r="R107" i="1"/>
  <c r="Q122" i="1"/>
  <c r="T153" i="1"/>
  <c r="T179" i="1"/>
  <c r="Q182" i="1"/>
  <c r="R198" i="1"/>
  <c r="T198" i="1"/>
  <c r="T7" i="2"/>
  <c r="Q14" i="3"/>
  <c r="T24" i="3"/>
  <c r="S24" i="3"/>
  <c r="R24" i="3"/>
  <c r="T25" i="4"/>
  <c r="S25" i="4"/>
  <c r="T127" i="1"/>
  <c r="S127" i="1"/>
  <c r="R127" i="1"/>
  <c r="S19" i="2"/>
  <c r="R19" i="2"/>
  <c r="T19" i="2"/>
  <c r="T3" i="9"/>
  <c r="T5" i="9"/>
  <c r="R5" i="9"/>
  <c r="T27" i="9"/>
  <c r="R27" i="9"/>
  <c r="S37" i="9"/>
  <c r="T52" i="9"/>
  <c r="S52" i="9"/>
  <c r="R52" i="9"/>
  <c r="S26" i="1"/>
  <c r="R34" i="1"/>
  <c r="T34" i="1"/>
  <c r="S55" i="1"/>
  <c r="T68" i="1"/>
  <c r="S68" i="1"/>
  <c r="T71" i="1"/>
  <c r="S71" i="1"/>
  <c r="R71" i="1"/>
  <c r="S76" i="1"/>
  <c r="S79" i="1"/>
  <c r="R79" i="1"/>
  <c r="Q82" i="1"/>
  <c r="R93" i="1"/>
  <c r="T93" i="1"/>
  <c r="S93" i="1"/>
  <c r="T110" i="1"/>
  <c r="S110" i="1"/>
  <c r="R110" i="1"/>
  <c r="S128" i="1"/>
  <c r="T128" i="1"/>
  <c r="T160" i="1"/>
  <c r="S160" i="1"/>
  <c r="R173" i="1"/>
  <c r="T173" i="1"/>
  <c r="R11" i="2"/>
  <c r="T11" i="2"/>
  <c r="S11" i="2"/>
  <c r="T30" i="2"/>
  <c r="S30" i="2"/>
  <c r="S33" i="2"/>
  <c r="R33" i="2"/>
  <c r="R46" i="2"/>
  <c r="T46" i="2"/>
  <c r="S46" i="2"/>
  <c r="R52" i="2"/>
  <c r="S52" i="2"/>
  <c r="R11" i="3"/>
  <c r="T11" i="3"/>
  <c r="R15" i="3"/>
  <c r="T15" i="3"/>
  <c r="S15" i="3"/>
  <c r="T2" i="4"/>
  <c r="R2" i="4"/>
  <c r="T5" i="4"/>
  <c r="R5" i="4"/>
  <c r="S5" i="4"/>
  <c r="R14" i="5"/>
  <c r="T14" i="5"/>
  <c r="S14" i="5"/>
  <c r="T21" i="5"/>
  <c r="S21" i="5"/>
  <c r="R21" i="5"/>
  <c r="T27" i="6"/>
  <c r="R27" i="6"/>
  <c r="S27" i="6"/>
  <c r="S35" i="2"/>
  <c r="R35" i="2"/>
  <c r="S5" i="9"/>
  <c r="R7" i="9"/>
  <c r="S13" i="9"/>
  <c r="S23" i="9"/>
  <c r="S25" i="9"/>
  <c r="S27" i="9"/>
  <c r="S29" i="9"/>
  <c r="R46" i="9"/>
  <c r="Q5" i="1"/>
  <c r="R10" i="1"/>
  <c r="R15" i="1"/>
  <c r="R17" i="1"/>
  <c r="S34" i="1"/>
  <c r="Q39" i="1"/>
  <c r="Q50" i="1"/>
  <c r="S60" i="1"/>
  <c r="R63" i="1"/>
  <c r="S63" i="1"/>
  <c r="R68" i="1"/>
  <c r="T79" i="1"/>
  <c r="S125" i="1"/>
  <c r="R128" i="1"/>
  <c r="Q137" i="1"/>
  <c r="S140" i="1"/>
  <c r="R140" i="1"/>
  <c r="T145" i="1"/>
  <c r="S151" i="1"/>
  <c r="R160" i="1"/>
  <c r="S173" i="1"/>
  <c r="Q177" i="1"/>
  <c r="S25" i="2"/>
  <c r="R30" i="2"/>
  <c r="T33" i="2"/>
  <c r="T52" i="2"/>
  <c r="S11" i="3"/>
  <c r="S2" i="4"/>
  <c r="S41" i="9"/>
  <c r="T41" i="9"/>
  <c r="R41" i="9"/>
  <c r="R41" i="1"/>
  <c r="T41" i="1"/>
  <c r="S57" i="1"/>
  <c r="R57" i="1"/>
  <c r="S62" i="1"/>
  <c r="R62" i="1"/>
  <c r="S87" i="1"/>
  <c r="T87" i="1"/>
  <c r="S124" i="1"/>
  <c r="T124" i="1"/>
  <c r="R124" i="1"/>
  <c r="S133" i="1"/>
  <c r="R133" i="1"/>
  <c r="S159" i="1"/>
  <c r="T159" i="1"/>
  <c r="R159" i="1"/>
  <c r="T176" i="1"/>
  <c r="R176" i="1"/>
  <c r="T17" i="1"/>
  <c r="S42" i="1"/>
  <c r="T42" i="1"/>
  <c r="R42" i="1"/>
  <c r="T60" i="1"/>
  <c r="R66" i="1"/>
  <c r="T66" i="1"/>
  <c r="S72" i="1"/>
  <c r="T72" i="1"/>
  <c r="T125" i="1"/>
  <c r="S134" i="1"/>
  <c r="T134" i="1"/>
  <c r="R134" i="1"/>
  <c r="S143" i="1"/>
  <c r="T143" i="1"/>
  <c r="R168" i="1"/>
  <c r="T168" i="1"/>
  <c r="R17" i="2"/>
  <c r="T17" i="2"/>
  <c r="S17" i="2"/>
  <c r="T25" i="2"/>
  <c r="R28" i="2"/>
  <c r="T28" i="2"/>
  <c r="T34" i="2"/>
  <c r="R34" i="2"/>
  <c r="S126" i="1"/>
  <c r="R126" i="1"/>
  <c r="T158" i="1"/>
  <c r="S158" i="1"/>
  <c r="S170" i="1"/>
  <c r="R170" i="1"/>
  <c r="T186" i="1"/>
  <c r="S186" i="1"/>
  <c r="R193" i="1"/>
  <c r="T193" i="1"/>
  <c r="S2" i="2"/>
  <c r="R2" i="2"/>
  <c r="Q15" i="2"/>
  <c r="Q18" i="2"/>
  <c r="Q38" i="2"/>
  <c r="T4" i="3"/>
  <c r="R4" i="3"/>
  <c r="S23" i="3"/>
  <c r="T23" i="3"/>
  <c r="T9" i="4"/>
  <c r="S9" i="4"/>
  <c r="R9" i="4"/>
  <c r="R14" i="6"/>
  <c r="T14" i="6"/>
  <c r="S14" i="6"/>
  <c r="Q54" i="9"/>
  <c r="S11" i="1"/>
  <c r="R11" i="1"/>
  <c r="Q18" i="1"/>
  <c r="S29" i="1"/>
  <c r="R29" i="1"/>
  <c r="Q47" i="1"/>
  <c r="S50" i="2"/>
  <c r="R50" i="2"/>
  <c r="T50" i="2"/>
  <c r="Q2" i="3"/>
  <c r="S21" i="3"/>
  <c r="T21" i="3"/>
  <c r="T16" i="4"/>
  <c r="S16" i="4"/>
  <c r="R16" i="4"/>
  <c r="S20" i="4"/>
  <c r="R20" i="4"/>
  <c r="S26" i="4"/>
  <c r="R26" i="4"/>
  <c r="T26" i="4"/>
  <c r="T38" i="4"/>
  <c r="R38" i="4"/>
  <c r="S38" i="4"/>
  <c r="Q41" i="4"/>
  <c r="R4" i="5"/>
  <c r="T4" i="5"/>
  <c r="S4" i="5"/>
  <c r="R19" i="9"/>
  <c r="Q36" i="9"/>
  <c r="T11" i="1"/>
  <c r="T29" i="1"/>
  <c r="Q89" i="1"/>
  <c r="R96" i="1"/>
  <c r="S103" i="1"/>
  <c r="R103" i="1"/>
  <c r="Q120" i="1"/>
  <c r="Q130" i="1"/>
  <c r="S142" i="1"/>
  <c r="R169" i="1"/>
  <c r="S197" i="1"/>
  <c r="R197" i="1"/>
  <c r="R3" i="2"/>
  <c r="Q40" i="2"/>
  <c r="T3" i="3"/>
  <c r="R3" i="3"/>
  <c r="T9" i="3"/>
  <c r="S9" i="3"/>
  <c r="R9" i="3"/>
  <c r="R21" i="3"/>
  <c r="T20" i="4"/>
  <c r="T35" i="4"/>
  <c r="R35" i="4"/>
  <c r="R58" i="4"/>
  <c r="T58" i="4"/>
  <c r="S58" i="4"/>
  <c r="S3" i="6"/>
  <c r="T3" i="6"/>
  <c r="R3" i="6"/>
  <c r="R13" i="6"/>
  <c r="S13" i="6"/>
  <c r="T13" i="6"/>
  <c r="Q111" i="1"/>
  <c r="Q132" i="1"/>
  <c r="Q136" i="1"/>
  <c r="Q187" i="1"/>
  <c r="Q13" i="2"/>
  <c r="Q47" i="2"/>
  <c r="S5" i="3"/>
  <c r="Q4" i="4"/>
  <c r="Q7" i="4"/>
  <c r="S42" i="4"/>
  <c r="R42" i="4"/>
  <c r="R45" i="4"/>
  <c r="T45" i="4"/>
  <c r="Q51" i="4"/>
  <c r="T6" i="5"/>
  <c r="S6" i="5"/>
  <c r="R6" i="5"/>
  <c r="T9" i="5"/>
  <c r="S9" i="5"/>
  <c r="R9" i="5"/>
  <c r="Q12" i="5"/>
  <c r="S31" i="5"/>
  <c r="T31" i="5"/>
  <c r="R31" i="5"/>
  <c r="S35" i="5"/>
  <c r="T35" i="5"/>
  <c r="R35" i="5"/>
  <c r="S8" i="6"/>
  <c r="R8" i="6"/>
  <c r="T8" i="6"/>
  <c r="Q56" i="9"/>
  <c r="Q24" i="1"/>
  <c r="Q49" i="1"/>
  <c r="Q74" i="1"/>
  <c r="Q171" i="1"/>
  <c r="Q20" i="2"/>
  <c r="S41" i="2"/>
  <c r="Q43" i="2"/>
  <c r="S10" i="3"/>
  <c r="S14" i="4"/>
  <c r="Q17" i="4"/>
  <c r="Q37" i="4"/>
  <c r="T42" i="4"/>
  <c r="S45" i="4"/>
  <c r="R18" i="5"/>
  <c r="S32" i="5"/>
  <c r="R32" i="5"/>
  <c r="T32" i="5"/>
  <c r="S2" i="6"/>
  <c r="R2" i="6"/>
  <c r="T2" i="6"/>
  <c r="S11" i="6"/>
  <c r="T11" i="6"/>
  <c r="R11" i="6"/>
  <c r="S25" i="6"/>
  <c r="T25" i="6"/>
  <c r="R25" i="6"/>
  <c r="S22" i="4"/>
  <c r="R22" i="4"/>
  <c r="T32" i="4"/>
  <c r="S32" i="4"/>
  <c r="T43" i="4"/>
  <c r="R43" i="4"/>
  <c r="S46" i="4"/>
  <c r="R46" i="4"/>
  <c r="T61" i="4"/>
  <c r="S61" i="4"/>
  <c r="T66" i="4"/>
  <c r="S66" i="4"/>
  <c r="T3" i="5"/>
  <c r="S3" i="5"/>
  <c r="R3" i="5"/>
  <c r="S13" i="5"/>
  <c r="R13" i="5"/>
  <c r="T13" i="5"/>
  <c r="S28" i="5"/>
  <c r="T28" i="5"/>
  <c r="R28" i="5"/>
  <c r="R38" i="6"/>
  <c r="T38" i="6"/>
  <c r="S38" i="6"/>
  <c r="Q6" i="3"/>
  <c r="R32" i="4"/>
  <c r="R61" i="4"/>
  <c r="R66" i="4"/>
  <c r="S10" i="5"/>
  <c r="T10" i="5"/>
  <c r="R18" i="6"/>
  <c r="T22" i="4"/>
  <c r="S43" i="4"/>
  <c r="T46" i="4"/>
  <c r="T49" i="4"/>
  <c r="R49" i="4"/>
  <c r="R54" i="4"/>
  <c r="T57" i="4"/>
  <c r="S57" i="4"/>
  <c r="R64" i="4"/>
  <c r="R10" i="5"/>
  <c r="R22" i="5"/>
  <c r="T22" i="5"/>
  <c r="S22" i="5"/>
  <c r="T9" i="6"/>
  <c r="S9" i="6"/>
  <c r="R9" i="6"/>
  <c r="R12" i="6"/>
  <c r="T12" i="6"/>
  <c r="S12" i="6"/>
  <c r="S18" i="6"/>
  <c r="T30" i="6"/>
  <c r="S30" i="6"/>
  <c r="R30" i="6"/>
  <c r="Q8" i="2"/>
  <c r="Q36" i="2"/>
  <c r="S44" i="2"/>
  <c r="T44" i="2"/>
  <c r="T16" i="3"/>
  <c r="Q6" i="4"/>
  <c r="T28" i="4"/>
  <c r="S28" i="4"/>
  <c r="R28" i="4"/>
  <c r="Q44" i="4"/>
  <c r="S63" i="4"/>
  <c r="R63" i="4"/>
  <c r="Q23" i="5"/>
  <c r="S37" i="5"/>
  <c r="R37" i="5"/>
  <c r="T37" i="5"/>
  <c r="Q101" i="1"/>
  <c r="Q154" i="1"/>
  <c r="R44" i="2"/>
  <c r="Q49" i="2"/>
  <c r="Q12" i="3"/>
  <c r="S31" i="4"/>
  <c r="R31" i="4"/>
  <c r="T36" i="4"/>
  <c r="S36" i="4"/>
  <c r="R36" i="4"/>
  <c r="T48" i="4"/>
  <c r="R48" i="4"/>
  <c r="R53" i="4"/>
  <c r="T53" i="4"/>
  <c r="S65" i="4"/>
  <c r="R65" i="4"/>
  <c r="T65" i="4"/>
  <c r="T24" i="5"/>
  <c r="S24" i="5"/>
  <c r="R24" i="5"/>
  <c r="T23" i="6"/>
  <c r="S23" i="6"/>
  <c r="R23" i="6"/>
  <c r="Q131" i="1"/>
  <c r="Q156" i="1"/>
  <c r="Q24" i="2"/>
  <c r="Q18" i="4"/>
  <c r="T33" i="6"/>
  <c r="S33" i="6"/>
  <c r="T36" i="6"/>
  <c r="S36" i="6"/>
  <c r="T7" i="7"/>
  <c r="S7" i="7"/>
  <c r="R7" i="7"/>
  <c r="T6" i="8"/>
  <c r="S6" i="8"/>
  <c r="R6" i="8"/>
  <c r="T10" i="8"/>
  <c r="S10" i="8"/>
  <c r="R10" i="8"/>
  <c r="S17" i="8"/>
  <c r="R17" i="8"/>
  <c r="T17" i="8"/>
  <c r="T21" i="8"/>
  <c r="S21" i="8"/>
  <c r="R21" i="8"/>
  <c r="T25" i="8"/>
  <c r="S25" i="8"/>
  <c r="R25" i="8"/>
  <c r="T33" i="8"/>
  <c r="S33" i="8"/>
  <c r="R33" i="8"/>
  <c r="S11" i="10"/>
  <c r="R11" i="10"/>
  <c r="T11" i="10"/>
  <c r="T15" i="10"/>
  <c r="S15" i="10"/>
  <c r="R15" i="10"/>
  <c r="T19" i="10"/>
  <c r="S19" i="10"/>
  <c r="R19" i="10"/>
  <c r="T3" i="11"/>
  <c r="S3" i="11"/>
  <c r="R3" i="11"/>
  <c r="S6" i="6"/>
  <c r="R6" i="6"/>
  <c r="R19" i="6"/>
  <c r="S19" i="6"/>
  <c r="T28" i="6"/>
  <c r="S28" i="6"/>
  <c r="T3" i="7"/>
  <c r="S3" i="7"/>
  <c r="R3" i="7"/>
  <c r="T18" i="7"/>
  <c r="S18" i="7"/>
  <c r="R18" i="7"/>
  <c r="T37" i="7"/>
  <c r="S37" i="7"/>
  <c r="R37" i="7"/>
  <c r="S29" i="8"/>
  <c r="R29" i="8"/>
  <c r="T29" i="8"/>
  <c r="T7" i="10"/>
  <c r="S7" i="10"/>
  <c r="R7" i="10"/>
  <c r="T12" i="10"/>
  <c r="S12" i="10"/>
  <c r="R12" i="10"/>
  <c r="T16" i="10"/>
  <c r="S16" i="10"/>
  <c r="R16" i="10"/>
  <c r="S24" i="11"/>
  <c r="R24" i="11"/>
  <c r="T24" i="11"/>
  <c r="R24" i="4"/>
  <c r="Q55" i="4"/>
  <c r="Q59" i="4"/>
  <c r="Q15" i="5"/>
  <c r="T19" i="5"/>
  <c r="T6" i="6"/>
  <c r="Q16" i="6"/>
  <c r="T19" i="6"/>
  <c r="R28" i="6"/>
  <c r="T31" i="6"/>
  <c r="S31" i="6"/>
  <c r="S42" i="6"/>
  <c r="T11" i="7"/>
  <c r="S11" i="7"/>
  <c r="R11" i="7"/>
  <c r="T15" i="7"/>
  <c r="S15" i="7"/>
  <c r="R15" i="7"/>
  <c r="S4" i="6"/>
  <c r="T4" i="6"/>
  <c r="R4" i="6"/>
  <c r="T4" i="7"/>
  <c r="S4" i="7"/>
  <c r="R4" i="7"/>
  <c r="T29" i="7"/>
  <c r="S29" i="7"/>
  <c r="R29" i="7"/>
  <c r="T34" i="7"/>
  <c r="S34" i="7"/>
  <c r="R34" i="7"/>
  <c r="Q34" i="4"/>
  <c r="Q50" i="4"/>
  <c r="Q5" i="5"/>
  <c r="Q7" i="5"/>
  <c r="R11" i="5"/>
  <c r="R27" i="5"/>
  <c r="S27" i="5"/>
  <c r="S30" i="5"/>
  <c r="R30" i="5"/>
  <c r="T33" i="5"/>
  <c r="S33" i="5"/>
  <c r="T12" i="7"/>
  <c r="S12" i="7"/>
  <c r="R12" i="7"/>
  <c r="T16" i="7"/>
  <c r="S16" i="7"/>
  <c r="R16" i="7"/>
  <c r="T19" i="7"/>
  <c r="S19" i="7"/>
  <c r="R19" i="7"/>
  <c r="T15" i="8"/>
  <c r="S15" i="8"/>
  <c r="R15" i="8"/>
  <c r="S67" i="4"/>
  <c r="T11" i="5"/>
  <c r="S20" i="5"/>
  <c r="R20" i="5"/>
  <c r="T27" i="5"/>
  <c r="T30" i="5"/>
  <c r="R33" i="5"/>
  <c r="Q17" i="6"/>
  <c r="Q40" i="6"/>
  <c r="Q91" i="1"/>
  <c r="Q116" i="1"/>
  <c r="Q141" i="1"/>
  <c r="Q166" i="1"/>
  <c r="Q29" i="2"/>
  <c r="Q18" i="3"/>
  <c r="Q15" i="4"/>
  <c r="Q19" i="4"/>
  <c r="Q56" i="4"/>
  <c r="Q60" i="4"/>
  <c r="Q62" i="4"/>
  <c r="T67" i="4"/>
  <c r="T20" i="5"/>
  <c r="Q5" i="6"/>
  <c r="R7" i="6"/>
  <c r="T32" i="6"/>
  <c r="S32" i="6"/>
  <c r="T31" i="7"/>
  <c r="S31" i="7"/>
  <c r="R31" i="7"/>
  <c r="T4" i="8"/>
  <c r="S4" i="8"/>
  <c r="R4" i="8"/>
  <c r="T8" i="8"/>
  <c r="S8" i="8"/>
  <c r="R8" i="8"/>
  <c r="T16" i="8"/>
  <c r="S16" i="8"/>
  <c r="R16" i="8"/>
  <c r="T10" i="10"/>
  <c r="S10" i="10"/>
  <c r="R10" i="10"/>
  <c r="T41" i="6"/>
  <c r="S41" i="6"/>
  <c r="T10" i="7"/>
  <c r="S10" i="7"/>
  <c r="R10" i="7"/>
  <c r="S34" i="5"/>
  <c r="T34" i="5"/>
  <c r="S37" i="6"/>
  <c r="R39" i="6"/>
  <c r="T39" i="6"/>
  <c r="R41" i="6"/>
  <c r="R15" i="11"/>
  <c r="T15" i="11"/>
  <c r="S15" i="11"/>
  <c r="T19" i="11"/>
  <c r="S19" i="11"/>
  <c r="R19" i="11"/>
  <c r="T23" i="11"/>
  <c r="S23" i="11"/>
  <c r="R23" i="11"/>
  <c r="T2" i="8"/>
  <c r="S2" i="8"/>
  <c r="R2" i="8"/>
  <c r="S14" i="8"/>
  <c r="R14" i="8"/>
  <c r="T14" i="8"/>
  <c r="T18" i="8"/>
  <c r="S18" i="8"/>
  <c r="R18" i="8"/>
  <c r="T22" i="8"/>
  <c r="S22" i="8"/>
  <c r="R22" i="8"/>
  <c r="T30" i="8"/>
  <c r="S30" i="8"/>
  <c r="R30" i="8"/>
  <c r="T34" i="8"/>
  <c r="S34" i="8"/>
  <c r="R34" i="8"/>
  <c r="S38" i="8"/>
  <c r="R38" i="8"/>
  <c r="T38" i="8"/>
  <c r="T16" i="11"/>
  <c r="S16" i="11"/>
  <c r="R16" i="11"/>
  <c r="T4" i="10"/>
  <c r="S4" i="10"/>
  <c r="R4" i="10"/>
  <c r="T13" i="10"/>
  <c r="S13" i="10"/>
  <c r="R13" i="10"/>
  <c r="S20" i="10"/>
  <c r="R20" i="10"/>
  <c r="T20" i="10"/>
  <c r="S4" i="11"/>
  <c r="R4" i="11"/>
  <c r="T4" i="11"/>
  <c r="T11" i="11"/>
  <c r="S11" i="11"/>
  <c r="R11" i="11"/>
  <c r="T20" i="11"/>
  <c r="S20" i="11"/>
  <c r="R20" i="11"/>
  <c r="T25" i="11"/>
  <c r="S25" i="11"/>
  <c r="R25" i="11"/>
  <c r="T31" i="8"/>
  <c r="S31" i="8"/>
  <c r="R31" i="8"/>
  <c r="T39" i="8"/>
  <c r="S39" i="8"/>
  <c r="R39" i="8"/>
  <c r="Q17" i="5"/>
  <c r="Q29" i="5"/>
  <c r="Q34" i="6"/>
  <c r="Q8" i="5"/>
  <c r="S10" i="6"/>
  <c r="R10" i="6"/>
  <c r="Q26" i="6"/>
  <c r="Q29" i="6"/>
  <c r="T22" i="10"/>
  <c r="S22" i="10"/>
  <c r="R22" i="10"/>
  <c r="T6" i="11"/>
  <c r="S6" i="11"/>
  <c r="R6" i="11"/>
  <c r="T13" i="11"/>
  <c r="S13" i="11"/>
  <c r="R13" i="11"/>
  <c r="T18" i="11"/>
  <c r="S18" i="11"/>
  <c r="R18" i="11"/>
  <c r="T22" i="11"/>
  <c r="S22" i="11"/>
  <c r="R22" i="11"/>
  <c r="T24" i="7"/>
  <c r="S24" i="7"/>
  <c r="R24" i="7"/>
  <c r="T27" i="7"/>
  <c r="S27" i="7"/>
  <c r="R27" i="7"/>
  <c r="T32" i="7"/>
  <c r="S32" i="7"/>
  <c r="R32" i="7"/>
  <c r="S20" i="8"/>
  <c r="R20" i="8"/>
  <c r="T20" i="8"/>
  <c r="T24" i="8"/>
  <c r="S24" i="8"/>
  <c r="R24" i="8"/>
  <c r="T28" i="8"/>
  <c r="S28" i="8"/>
  <c r="R28" i="8"/>
  <c r="T36" i="8"/>
  <c r="S36" i="8"/>
  <c r="R36" i="8"/>
  <c r="T2" i="10"/>
  <c r="S2" i="10"/>
  <c r="R2" i="10"/>
  <c r="T6" i="10"/>
  <c r="S6" i="10"/>
  <c r="R6" i="10"/>
  <c r="T18" i="10"/>
  <c r="S18" i="10"/>
  <c r="R18" i="10"/>
  <c r="T9" i="11"/>
  <c r="S9" i="11"/>
  <c r="R9" i="11"/>
  <c r="T14" i="11"/>
  <c r="S14" i="11"/>
  <c r="R14" i="11"/>
  <c r="Q21" i="6"/>
  <c r="T44" i="6"/>
  <c r="S44" i="6"/>
  <c r="R44" i="6"/>
  <c r="T6" i="7"/>
  <c r="S6" i="7"/>
  <c r="R6" i="7"/>
  <c r="T28" i="7"/>
  <c r="S28" i="7"/>
  <c r="R28" i="7"/>
  <c r="T36" i="7"/>
  <c r="S36" i="7"/>
  <c r="R36" i="7"/>
  <c r="T5" i="8"/>
  <c r="S5" i="8"/>
  <c r="R5" i="8"/>
  <c r="T9" i="8"/>
  <c r="S9" i="8"/>
  <c r="R9" i="8"/>
  <c r="T13" i="8"/>
  <c r="S13" i="8"/>
  <c r="R13" i="8"/>
  <c r="T37" i="8"/>
  <c r="S37" i="8"/>
  <c r="R37" i="8"/>
  <c r="T3" i="10"/>
  <c r="S3" i="10"/>
  <c r="R3" i="10"/>
  <c r="T2" i="11"/>
  <c r="S2" i="11"/>
  <c r="R2" i="11"/>
  <c r="T10" i="11"/>
  <c r="S10" i="11"/>
  <c r="R10" i="11"/>
  <c r="T5" i="10"/>
  <c r="S5" i="10"/>
  <c r="R5" i="10"/>
  <c r="S8" i="10"/>
  <c r="R8" i="10"/>
  <c r="T8" i="10"/>
  <c r="T5" i="11"/>
  <c r="S5" i="11"/>
  <c r="R5" i="11"/>
  <c r="S21" i="11"/>
  <c r="R21" i="11"/>
  <c r="T21" i="11"/>
  <c r="Q22" i="6"/>
  <c r="T13" i="7"/>
  <c r="S13" i="7"/>
  <c r="R13" i="7"/>
  <c r="T30" i="7"/>
  <c r="S30" i="7"/>
  <c r="R30" i="7"/>
  <c r="T35" i="7"/>
  <c r="S35" i="7"/>
  <c r="R35" i="7"/>
  <c r="S3" i="8"/>
  <c r="R3" i="8"/>
  <c r="T3" i="8"/>
  <c r="T19" i="8"/>
  <c r="S19" i="8"/>
  <c r="R19" i="8"/>
  <c r="T27" i="8"/>
  <c r="S27" i="8"/>
  <c r="R27" i="8"/>
  <c r="T9" i="10"/>
  <c r="S9" i="10"/>
  <c r="R9" i="10"/>
  <c r="T21" i="10"/>
  <c r="S21" i="10"/>
  <c r="R21" i="10"/>
  <c r="T12" i="11"/>
  <c r="S12" i="11"/>
  <c r="R12" i="11"/>
  <c r="T17" i="11"/>
  <c r="S17" i="11"/>
  <c r="R17" i="11"/>
  <c r="S43" i="6"/>
  <c r="R43" i="6"/>
  <c r="T43" i="6"/>
  <c r="T9" i="7"/>
  <c r="S9" i="7"/>
  <c r="R9" i="7"/>
  <c r="T23" i="7"/>
  <c r="S23" i="7"/>
  <c r="R23" i="7"/>
  <c r="T12" i="8"/>
  <c r="S12" i="8"/>
  <c r="R12" i="8"/>
  <c r="T35" i="8"/>
  <c r="S35" i="8"/>
  <c r="R35" i="8"/>
  <c r="T40" i="8"/>
  <c r="S40" i="8"/>
  <c r="R40" i="8"/>
  <c r="S2" i="7"/>
  <c r="S5" i="7"/>
  <c r="S8" i="7"/>
  <c r="S14" i="7"/>
  <c r="S22" i="7"/>
  <c r="S33" i="7"/>
  <c r="S11" i="8"/>
  <c r="S23" i="8"/>
  <c r="S26" i="8"/>
  <c r="S32" i="8"/>
  <c r="S14" i="10"/>
  <c r="S17" i="10"/>
  <c r="T2" i="7"/>
  <c r="T5" i="7"/>
  <c r="T8" i="7"/>
  <c r="T14" i="7"/>
  <c r="T22" i="7"/>
  <c r="T33" i="7"/>
  <c r="T11" i="8"/>
  <c r="T23" i="8"/>
  <c r="T26" i="8"/>
  <c r="T32" i="8"/>
  <c r="T14" i="10"/>
  <c r="T17" i="10"/>
  <c r="R21" i="7"/>
  <c r="R26" i="7"/>
  <c r="R7" i="8"/>
  <c r="R8" i="11"/>
  <c r="S21" i="7"/>
  <c r="S26" i="7"/>
  <c r="S7" i="8"/>
  <c r="S8" i="11"/>
  <c r="R17" i="7"/>
  <c r="R20" i="7"/>
  <c r="R25" i="7"/>
  <c r="T60" i="4" l="1"/>
  <c r="R60" i="4"/>
  <c r="S60" i="4"/>
  <c r="T40" i="6"/>
  <c r="S40" i="6"/>
  <c r="R40" i="6"/>
  <c r="R50" i="4"/>
  <c r="S50" i="4"/>
  <c r="T50" i="4"/>
  <c r="T55" i="4"/>
  <c r="S55" i="4"/>
  <c r="R55" i="4"/>
  <c r="S36" i="2"/>
  <c r="R36" i="2"/>
  <c r="T36" i="2"/>
  <c r="S49" i="1"/>
  <c r="R49" i="1"/>
  <c r="T49" i="1"/>
  <c r="S136" i="1"/>
  <c r="R136" i="1"/>
  <c r="T136" i="1"/>
  <c r="T41" i="4"/>
  <c r="R41" i="4"/>
  <c r="S41" i="4"/>
  <c r="S14" i="3"/>
  <c r="R14" i="3"/>
  <c r="T14" i="3"/>
  <c r="S104" i="1"/>
  <c r="T104" i="1"/>
  <c r="R104" i="1"/>
  <c r="S22" i="1"/>
  <c r="T22" i="1"/>
  <c r="R22" i="1"/>
  <c r="R156" i="1"/>
  <c r="T156" i="1"/>
  <c r="S156" i="1"/>
  <c r="S12" i="3"/>
  <c r="T12" i="3"/>
  <c r="R12" i="3"/>
  <c r="T8" i="2"/>
  <c r="S8" i="2"/>
  <c r="R8" i="2"/>
  <c r="R6" i="3"/>
  <c r="S6" i="3"/>
  <c r="T6" i="3"/>
  <c r="R37" i="4"/>
  <c r="T37" i="4"/>
  <c r="S37" i="4"/>
  <c r="T24" i="1"/>
  <c r="S24" i="1"/>
  <c r="R24" i="1"/>
  <c r="R132" i="1"/>
  <c r="T132" i="1"/>
  <c r="S132" i="1"/>
  <c r="R40" i="2"/>
  <c r="T40" i="2"/>
  <c r="S40" i="2"/>
  <c r="T18" i="1"/>
  <c r="S18" i="1"/>
  <c r="R18" i="1"/>
  <c r="S99" i="1"/>
  <c r="T99" i="1"/>
  <c r="R99" i="1"/>
  <c r="S7" i="1"/>
  <c r="R7" i="1"/>
  <c r="T7" i="1"/>
  <c r="T24" i="2"/>
  <c r="S24" i="2"/>
  <c r="R24" i="2"/>
  <c r="T22" i="6"/>
  <c r="R22" i="6"/>
  <c r="S22" i="6"/>
  <c r="S56" i="4"/>
  <c r="T56" i="4"/>
  <c r="R56" i="4"/>
  <c r="T17" i="6"/>
  <c r="R17" i="6"/>
  <c r="S17" i="6"/>
  <c r="R34" i="4"/>
  <c r="S34" i="4"/>
  <c r="T34" i="4"/>
  <c r="T19" i="4"/>
  <c r="S19" i="4"/>
  <c r="R19" i="4"/>
  <c r="T131" i="1"/>
  <c r="R131" i="1"/>
  <c r="S131" i="1"/>
  <c r="R49" i="2"/>
  <c r="T49" i="2"/>
  <c r="S49" i="2"/>
  <c r="T44" i="4"/>
  <c r="S44" i="4"/>
  <c r="R44" i="4"/>
  <c r="S17" i="4"/>
  <c r="T17" i="4"/>
  <c r="R17" i="4"/>
  <c r="S56" i="9"/>
  <c r="R56" i="9"/>
  <c r="T56" i="9"/>
  <c r="S12" i="5"/>
  <c r="R12" i="5"/>
  <c r="T12" i="5"/>
  <c r="R111" i="1"/>
  <c r="T111" i="1"/>
  <c r="S111" i="1"/>
  <c r="S89" i="1"/>
  <c r="T89" i="1"/>
  <c r="R89" i="1"/>
  <c r="S177" i="1"/>
  <c r="R177" i="1"/>
  <c r="T177" i="1"/>
  <c r="R45" i="9"/>
  <c r="T45" i="9"/>
  <c r="S45" i="9"/>
  <c r="T5" i="1"/>
  <c r="R5" i="1"/>
  <c r="S5" i="1"/>
  <c r="R9" i="1"/>
  <c r="T9" i="1"/>
  <c r="S9" i="1"/>
  <c r="S92" i="1"/>
  <c r="T92" i="1"/>
  <c r="R92" i="1"/>
  <c r="T64" i="1"/>
  <c r="S64" i="1"/>
  <c r="R64" i="1"/>
  <c r="T26" i="6"/>
  <c r="S26" i="6"/>
  <c r="R26" i="6"/>
  <c r="T8" i="5"/>
  <c r="S8" i="5"/>
  <c r="R8" i="5"/>
  <c r="R15" i="4"/>
  <c r="T15" i="4"/>
  <c r="S15" i="4"/>
  <c r="T34" i="6"/>
  <c r="R34" i="6"/>
  <c r="S34" i="6"/>
  <c r="T18" i="3"/>
  <c r="S18" i="3"/>
  <c r="R18" i="3"/>
  <c r="S154" i="1"/>
  <c r="T154" i="1"/>
  <c r="R154" i="1"/>
  <c r="R7" i="4"/>
  <c r="T7" i="4"/>
  <c r="S7" i="4"/>
  <c r="T2" i="3"/>
  <c r="S2" i="3"/>
  <c r="R2" i="3"/>
  <c r="S54" i="9"/>
  <c r="R54" i="9"/>
  <c r="T54" i="9"/>
  <c r="R182" i="1"/>
  <c r="T182" i="1"/>
  <c r="S182" i="1"/>
  <c r="S40" i="1"/>
  <c r="R40" i="1"/>
  <c r="T40" i="1"/>
  <c r="T29" i="5"/>
  <c r="R29" i="5"/>
  <c r="S29" i="5"/>
  <c r="T29" i="2"/>
  <c r="S29" i="2"/>
  <c r="R29" i="2"/>
  <c r="T16" i="6"/>
  <c r="S16" i="6"/>
  <c r="R16" i="6"/>
  <c r="T101" i="1"/>
  <c r="S101" i="1"/>
  <c r="R101" i="1"/>
  <c r="S43" i="2"/>
  <c r="T43" i="2"/>
  <c r="R43" i="2"/>
  <c r="R4" i="4"/>
  <c r="T4" i="4"/>
  <c r="S4" i="4"/>
  <c r="R36" i="9"/>
  <c r="S36" i="9"/>
  <c r="T36" i="9"/>
  <c r="S38" i="2"/>
  <c r="T38" i="2"/>
  <c r="R38" i="2"/>
  <c r="T17" i="5"/>
  <c r="R17" i="5"/>
  <c r="S17" i="5"/>
  <c r="S5" i="6"/>
  <c r="T5" i="6"/>
  <c r="R5" i="6"/>
  <c r="S166" i="1"/>
  <c r="T166" i="1"/>
  <c r="R166" i="1"/>
  <c r="T6" i="4"/>
  <c r="S6" i="4"/>
  <c r="R6" i="4"/>
  <c r="T18" i="2"/>
  <c r="S18" i="2"/>
  <c r="R18" i="2"/>
  <c r="S48" i="1"/>
  <c r="T48" i="1"/>
  <c r="R48" i="1"/>
  <c r="S21" i="6"/>
  <c r="R21" i="6"/>
  <c r="T21" i="6"/>
  <c r="T141" i="1"/>
  <c r="S141" i="1"/>
  <c r="R141" i="1"/>
  <c r="R20" i="2"/>
  <c r="S20" i="2"/>
  <c r="T20" i="2"/>
  <c r="T47" i="2"/>
  <c r="S47" i="2"/>
  <c r="R47" i="2"/>
  <c r="R130" i="1"/>
  <c r="T130" i="1"/>
  <c r="S130" i="1"/>
  <c r="T15" i="2"/>
  <c r="S15" i="2"/>
  <c r="R15" i="2"/>
  <c r="R50" i="1"/>
  <c r="T50" i="1"/>
  <c r="S50" i="1"/>
  <c r="S82" i="1"/>
  <c r="R82" i="1"/>
  <c r="T82" i="1"/>
  <c r="T122" i="1"/>
  <c r="S122" i="1"/>
  <c r="R122" i="1"/>
  <c r="S115" i="1"/>
  <c r="R115" i="1"/>
  <c r="T115" i="1"/>
  <c r="R21" i="9"/>
  <c r="T21" i="9"/>
  <c r="S21" i="9"/>
  <c r="T16" i="9"/>
  <c r="S16" i="9"/>
  <c r="R16" i="9"/>
  <c r="S116" i="1"/>
  <c r="R116" i="1"/>
  <c r="T116" i="1"/>
  <c r="S7" i="5"/>
  <c r="R7" i="5"/>
  <c r="T7" i="5"/>
  <c r="S15" i="5"/>
  <c r="R15" i="5"/>
  <c r="T15" i="5"/>
  <c r="T171" i="1"/>
  <c r="S171" i="1"/>
  <c r="R171" i="1"/>
  <c r="R13" i="2"/>
  <c r="T13" i="2"/>
  <c r="S13" i="2"/>
  <c r="T120" i="1"/>
  <c r="S120" i="1"/>
  <c r="R120" i="1"/>
  <c r="S47" i="1"/>
  <c r="R47" i="1"/>
  <c r="T47" i="1"/>
  <c r="T39" i="1"/>
  <c r="R39" i="1"/>
  <c r="S39" i="1"/>
  <c r="S162" i="1"/>
  <c r="R162" i="1"/>
  <c r="T162" i="1"/>
  <c r="T147" i="1"/>
  <c r="S147" i="1"/>
  <c r="R147" i="1"/>
  <c r="T78" i="1"/>
  <c r="S78" i="1"/>
  <c r="R78" i="1"/>
  <c r="T43" i="1"/>
  <c r="S43" i="1"/>
  <c r="R43" i="1"/>
  <c r="T29" i="6"/>
  <c r="R29" i="6"/>
  <c r="S29" i="6"/>
  <c r="S62" i="4"/>
  <c r="R62" i="4"/>
  <c r="T62" i="4"/>
  <c r="T91" i="1"/>
  <c r="S91" i="1"/>
  <c r="R91" i="1"/>
  <c r="R5" i="5"/>
  <c r="T5" i="5"/>
  <c r="S5" i="5"/>
  <c r="R59" i="4"/>
  <c r="T59" i="4"/>
  <c r="S59" i="4"/>
  <c r="S18" i="4"/>
  <c r="T18" i="4"/>
  <c r="R18" i="4"/>
  <c r="R23" i="5"/>
  <c r="S23" i="5"/>
  <c r="T23" i="5"/>
  <c r="T74" i="1"/>
  <c r="S74" i="1"/>
  <c r="R74" i="1"/>
  <c r="S51" i="4"/>
  <c r="T51" i="4"/>
  <c r="R51" i="4"/>
  <c r="R187" i="1"/>
  <c r="T187" i="1"/>
  <c r="S187" i="1"/>
  <c r="S137" i="1"/>
  <c r="R137" i="1"/>
  <c r="T137" i="1"/>
  <c r="R84" i="1"/>
  <c r="T84" i="1"/>
  <c r="S84" i="1"/>
  <c r="S144" i="1"/>
  <c r="T144" i="1"/>
  <c r="R144" i="1"/>
  <c r="S164" i="1"/>
  <c r="T164" i="1"/>
  <c r="R164" i="1"/>
</calcChain>
</file>

<file path=xl/sharedStrings.xml><?xml version="1.0" encoding="utf-8"?>
<sst xmlns="http://schemas.openxmlformats.org/spreadsheetml/2006/main" count="2715" uniqueCount="357">
  <si>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</si>
  <si>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</si>
  <si>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</si>
  <si>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</si>
  <si>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</si>
  <si>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</si>
  <si>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</si>
  <si>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</si>
  <si>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</si>
  <si>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</si>
  <si>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</si>
  <si>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</si>
  <si>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</si>
  <si>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</si>
  <si>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</si>
  <si>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</si>
  <si>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</si>
  <si>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</si>
  <si>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</si>
  <si>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</si>
  <si>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</si>
  <si>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Figma Website Design | Yoga &amp; Meditation Instructor Section [ASMR, No Talking]</t>
  </si>
  <si>
    <t>8_1</t>
  </si>
  <si>
    <t>[deselect]</t>
  </si>
  <si>
    <t>selection</t>
  </si>
  <si>
    <t>deselect</t>
  </si>
  <si>
    <t>cursor</t>
  </si>
  <si>
    <t>canvas</t>
  </si>
  <si>
    <t>wayfinding</t>
  </si>
  <si>
    <t>wayfinding using canvas</t>
  </si>
  <si>
    <t>activate pen tool</t>
  </si>
  <si>
    <t>[gui interaction]</t>
  </si>
  <si>
    <t>gui interaction</t>
  </si>
  <si>
    <t>activate tool</t>
  </si>
  <si>
    <t>gui</t>
  </si>
  <si>
    <t>place pen point</t>
  </si>
  <si>
    <t>[click] to [create] [reference] at [new position] on [canvas] using [cursor] and [freehand positioning]</t>
  </si>
  <si>
    <t>creating spline object</t>
  </si>
  <si>
    <t>creating design object using freehand</t>
  </si>
  <si>
    <t>hover to plan out where pen point will go</t>
  </si>
  <si>
    <t>[undo]</t>
  </si>
  <si>
    <t>undo</t>
  </si>
  <si>
    <t>keyboard</t>
  </si>
  <si>
    <t>zoom out</t>
  </si>
  <si>
    <t>[zoom]</t>
  </si>
  <si>
    <t>navigation</t>
  </si>
  <si>
    <t>navigate</t>
  </si>
  <si>
    <t>gesture</t>
  </si>
  <si>
    <t>pan with drag to pan</t>
  </si>
  <si>
    <t>[pan]</t>
  </si>
  <si>
    <t>[select] [reference] on [canvas] using [cursor]</t>
  </si>
  <si>
    <t>select</t>
  </si>
  <si>
    <t>update opacity</t>
  </si>
  <si>
    <t>update design object property</t>
  </si>
  <si>
    <t>zoom with magnifying glass</t>
  </si>
  <si>
    <t>[drag] to [create] [reference] at [new position] on [canvas] using [cursor] and [freehand positioning]</t>
  </si>
  <si>
    <t>creating design object</t>
  </si>
  <si>
    <t>she undos the drag to new position without letting go so just brings it back manually</t>
  </si>
  <si>
    <t>creating spline object using freehand</t>
  </si>
  <si>
    <t>updating spline object point to a bend</t>
  </si>
  <si>
    <t>exit pen tool context</t>
  </si>
  <si>
    <t>enter vector editing mode</t>
  </si>
  <si>
    <t>[double click] [reference] on [canvas] using [cursor]</t>
  </si>
  <si>
    <t>[hover] over [reference(s)] in [layers panel]</t>
  </si>
  <si>
    <t>wayfinding using layers</t>
  </si>
  <si>
    <t>layers panel</t>
  </si>
  <si>
    <t>[click] to [create] [reference] at [new position] on [canvas] using [cursor] and [alignment grids]</t>
  </si>
  <si>
    <t>accidently activates comments tool</t>
  </si>
  <si>
    <t>[mistake/redundant]</t>
  </si>
  <si>
    <t>pan</t>
  </si>
  <si>
    <t>[drag] to [multiselect] [references] on [canvas] using [cursor]</t>
  </si>
  <si>
    <t>multiselect</t>
  </si>
  <si>
    <t>[duplicate] [reference]</t>
  </si>
  <si>
    <t>copy/paste/cut</t>
  </si>
  <si>
    <t>dragging to test out where the design object would look best but not placing it</t>
  </si>
  <si>
    <t>[drag] [reference] to [new position] using [cursor] and [freehand positioning]</t>
  </si>
  <si>
    <t>positioning</t>
  </si>
  <si>
    <t>freehand positioning</t>
  </si>
  <si>
    <t>[duplicate] [reference] to [new position] using [freehand positioning]</t>
  </si>
  <si>
    <t>flatten group</t>
  </si>
  <si>
    <t>grouping</t>
  </si>
  <si>
    <t>[drag] [reference] to [resize] using [freehand positioning]</t>
  </si>
  <si>
    <t>resizing</t>
  </si>
  <si>
    <t>freehand resizing</t>
  </si>
  <si>
    <t>[drag] [reference] to [new position] using [cursor] and [alignment grids]</t>
  </si>
  <si>
    <t>alignment positioning</t>
  </si>
  <si>
    <t>UI Design Cinema Ticketing in Figma - UI Speed Design | Week - 12</t>
  </si>
  <si>
    <t>https://www.youtube.com/watch?v=JkC4o1U5zgM&amp;list=PLfrBp-7QhDqtmJ8oAjYhP6PLQqwDI0z1S&amp;index=6</t>
  </si>
  <si>
    <t>1_1</t>
  </si>
  <si>
    <t>[navigate] to focus [area of interest]</t>
  </si>
  <si>
    <t>navigate to region of interest</t>
  </si>
  <si>
    <t>complex gesture</t>
  </si>
  <si>
    <t>combining zooming and panning is hard</t>
  </si>
  <si>
    <t>activate text tool</t>
  </si>
  <si>
    <t>[create] [text object] at [new position] on [canvas] using [freehand positioning]</t>
  </si>
  <si>
    <t>creating text</t>
  </si>
  <si>
    <t>creating text using freehand</t>
  </si>
  <si>
    <t>choosing position is hard</t>
  </si>
  <si>
    <t>[update] [text object] using [keyboard]</t>
  </si>
  <si>
    <t>update text object content</t>
  </si>
  <si>
    <t>update text object property</t>
  </si>
  <si>
    <t>update text alignment</t>
  </si>
  <si>
    <t>multi_step</t>
  </si>
  <si>
    <t>update letter spacing</t>
  </si>
  <si>
    <t>[move] [reference] to [new position] using [keyboard] and [alignment grids]</t>
  </si>
  <si>
    <t>alignment grids only show up for conventional keyboard and cursor actions - not when accessibility tools are used</t>
  </si>
  <si>
    <t>update text object size</t>
  </si>
  <si>
    <t>duplicate object</t>
  </si>
  <si>
    <t>[multiselect] [references] on [canvas] using [cursor]</t>
  </si>
  <si>
    <t>[create] [autolayout]</t>
  </si>
  <si>
    <t>autolayout</t>
  </si>
  <si>
    <t>create autolayout</t>
  </si>
  <si>
    <t>update vertical autolayout spacing</t>
  </si>
  <si>
    <t>mistake</t>
  </si>
  <si>
    <t>update colour</t>
  </si>
  <si>
    <t>update colour style</t>
  </si>
  <si>
    <t>[deep select] [reference] on [canvas] using [cursor]</t>
  </si>
  <si>
    <t>deep select</t>
  </si>
  <si>
    <t>multi_input</t>
  </si>
  <si>
    <t>[update] [text object] with [keyboard]</t>
  </si>
  <si>
    <t>[zoom] and [pan]</t>
  </si>
  <si>
    <t>open rectangle menu</t>
  </si>
  <si>
    <t>mistake/redundant</t>
  </si>
  <si>
    <t>activate rectangle tool</t>
  </si>
  <si>
    <t>creating rectangle</t>
  </si>
  <si>
    <t>gui resizing</t>
  </si>
  <si>
    <t>update design object size</t>
  </si>
  <si>
    <t>update corner radius</t>
  </si>
  <si>
    <t>update autolayout layout</t>
  </si>
  <si>
    <t>update fill</t>
  </si>
  <si>
    <t>the hardest part of this action is that it is multistep and requires scrolling which is frustrating with voice</t>
  </si>
  <si>
    <t>https://www.youtube.com/watch?v=OLb7Rqo1KVQ</t>
  </si>
  <si>
    <t>2_1</t>
  </si>
  <si>
    <t>zoom</t>
  </si>
  <si>
    <t>select rectangle dropdown menu with cursor</t>
  </si>
  <si>
    <t xml:space="preserve">click place image </t>
  </si>
  <si>
    <t>place image</t>
  </si>
  <si>
    <t>select image to import</t>
  </si>
  <si>
    <t>choose image to import</t>
  </si>
  <si>
    <t>drag and drop image to desired position whilst adjusting viewport zoom</t>
  </si>
  <si>
    <t>drag and drop image</t>
  </si>
  <si>
    <t>drag image to align top edge and left edge with existing frame</t>
  </si>
  <si>
    <t>[drag] [reference] to [new position] using [cursor] and [reference(s)]</t>
  </si>
  <si>
    <t>reference positioning</t>
  </si>
  <si>
    <t>align image with edges</t>
  </si>
  <si>
    <t>drag 'desktop' frame height to match image height</t>
  </si>
  <si>
    <t>[drag] [reference] to [resize] using [reference]</t>
  </si>
  <si>
    <t>reference resizing</t>
  </si>
  <si>
    <t>visually resizing</t>
  </si>
  <si>
    <t>drag 'desktop' frame width to match image height</t>
  </si>
  <si>
    <t>add a vertical page ruler guide to align with a feature in the image</t>
  </si>
  <si>
    <t>[create] [alignment guide] using [reference]</t>
  </si>
  <si>
    <t>alignment guides</t>
  </si>
  <si>
    <t>support alignment</t>
  </si>
  <si>
    <t>add a vertical page ruler guide to match distance from edge of 'desktop' frame</t>
  </si>
  <si>
    <t>drag image out of 'desktop' frame</t>
  </si>
  <si>
    <t>drag image out of frame</t>
  </si>
  <si>
    <t>zoom out viewport so all elements are in frame</t>
  </si>
  <si>
    <t>[zoom] to fit context in viewport</t>
  </si>
  <si>
    <t>navigate to fit context</t>
  </si>
  <si>
    <t>zoom in viewport to focus on image</t>
  </si>
  <si>
    <t>[zoom] to focus [reference]</t>
  </si>
  <si>
    <t>navigate to reference</t>
  </si>
  <si>
    <t>pan and adjust viewport to focus on 'desktop' frame</t>
  </si>
  <si>
    <t>[pan] to focus [reference]</t>
  </si>
  <si>
    <t>undo action</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</si>
  <si>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</si>
  <si>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</si>
  <si>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</si>
  <si>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</si>
  <si>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[drag] to [create] [reference] at [new position] on [canvas] using [cursor] and [reference]</t>
  </si>
  <si>
    <t>creating design object using reference</t>
  </si>
  <si>
    <t>create rectangle</t>
  </si>
  <si>
    <t>zoom out to focus 'desktop' frame</t>
  </si>
  <si>
    <t>drag rectangle width to match 'desktop' frame width</t>
  </si>
  <si>
    <t>double click rectangle</t>
  </si>
  <si>
    <t>drag position of BR rectangle handle to ~two fifths of current height</t>
  </si>
  <si>
    <t>deselect 'rectangle 1'</t>
  </si>
  <si>
    <t>deslect</t>
  </si>
  <si>
    <t>Let's Design Music Streaming App in Figma</t>
  </si>
  <si>
    <t>https://www.youtube.com/watch?v=GfVA26-Z-SE</t>
  </si>
  <si>
    <t>3_1</t>
  </si>
  <si>
    <t>[create] [frame] from [reference]</t>
  </si>
  <si>
    <t>framing</t>
  </si>
  <si>
    <t>create frame</t>
  </si>
  <si>
    <t>[collapse] [group] on [layers panel]</t>
  </si>
  <si>
    <t>rename layer</t>
  </si>
  <si>
    <t>[update] [reference name]</t>
  </si>
  <si>
    <t>rename</t>
  </si>
  <si>
    <t>hover over all design objects in layers panel</t>
  </si>
  <si>
    <t>change figma page</t>
  </si>
  <si>
    <t>copy object</t>
  </si>
  <si>
    <t>move selected to new position outside of the current frame</t>
  </si>
  <si>
    <t>frame selection</t>
  </si>
  <si>
    <t>[ungroup] [reference] using [cursor]</t>
  </si>
  <si>
    <t>ungrouping</t>
  </si>
  <si>
    <t>group</t>
  </si>
  <si>
    <t>align center</t>
  </si>
  <si>
    <t xml:space="preserve">change autolayout width from hug to fixed width </t>
  </si>
  <si>
    <t xml:space="preserve">update autolayout width from hug to fixed width </t>
  </si>
  <si>
    <t>update autolayout height from hug to fixed height</t>
  </si>
  <si>
    <t>add autolayout to selected</t>
  </si>
  <si>
    <t>pan to centre of selected</t>
  </si>
  <si>
    <t>align centre for selected</t>
  </si>
  <si>
    <t>update autolayout property</t>
  </si>
  <si>
    <t xml:space="preserve">update autolayout height from hug to fixed height </t>
  </si>
  <si>
    <t>update width to value</t>
  </si>
  <si>
    <t>update height to value</t>
  </si>
  <si>
    <t>drag</t>
  </si>
  <si>
    <t>drag [selected] to [new position] - uses alignment grids</t>
  </si>
  <si>
    <t>select [layer name]</t>
  </si>
  <si>
    <t>align center for [selected]</t>
  </si>
  <si>
    <t>Designing checkout UI for a bakery on Figma | Daily UI Challenge, Day 2</t>
  </si>
  <si>
    <t>https://www.youtube.com/watch?v=k0fbFIAUwfA&amp;t=1052s</t>
  </si>
  <si>
    <t>4_1</t>
  </si>
  <si>
    <t>select two objects by dragging the mouse</t>
  </si>
  <si>
    <t>use as mask</t>
  </si>
  <si>
    <t>[mask]</t>
  </si>
  <si>
    <t>hover over design object</t>
  </si>
  <si>
    <t>select design object with mouse</t>
  </si>
  <si>
    <t>select multiple design objects with mouse</t>
  </si>
  <si>
    <t>scroll layers panel</t>
  </si>
  <si>
    <t>select design object in layers panel</t>
  </si>
  <si>
    <t>[select] [reference] on [layers panel] using [cursor]</t>
  </si>
  <si>
    <t>delete design object</t>
  </si>
  <si>
    <t>[delete]</t>
  </si>
  <si>
    <t>delete</t>
  </si>
  <si>
    <t>drag design object to new aligned position</t>
  </si>
  <si>
    <t>pan to the side</t>
  </si>
  <si>
    <t>pan to focus a cluster</t>
  </si>
  <si>
    <t>[pan] to focus [area of interest]</t>
  </si>
  <si>
    <t>zoom in to focus an area of interest</t>
  </si>
  <si>
    <t>[zoom] to focus [area of interest]</t>
  </si>
  <si>
    <t>drag to create aligned rectangle</t>
  </si>
  <si>
    <t>[drag] to [create] [reference] at [new position] on [canvas] using [cursor] and [alignment grids]</t>
  </si>
  <si>
    <t>creating design object using alignment</t>
  </si>
  <si>
    <t>paste image into rectangle</t>
  </si>
  <si>
    <t>[paste] into [frame]</t>
  </si>
  <si>
    <t>select design object</t>
  </si>
  <si>
    <t>deselect design object</t>
  </si>
  <si>
    <t>drag design object to new position - aligned with a corner of an existing frame…</t>
  </si>
  <si>
    <t>drag to resize design object to 1/2 and a bit of the frame height</t>
  </si>
  <si>
    <t>drag to resize frame to match the height of reference design object</t>
  </si>
  <si>
    <t>create text next to reference design object</t>
  </si>
  <si>
    <t>[create] [text object] at [new position] on [canvas] using [reference]</t>
  </si>
  <si>
    <t>creating text using reference</t>
  </si>
  <si>
    <t>change text from bold to regular</t>
  </si>
  <si>
    <t xml:space="preserve">deselect text </t>
  </si>
  <si>
    <t>select text</t>
  </si>
  <si>
    <t>update text</t>
  </si>
  <si>
    <t>drag text to right hand corner of frame…</t>
  </si>
  <si>
    <t>drag text back to where it was before</t>
  </si>
  <si>
    <t>https://www.youtube.com/watch?v=ajwuqQDeeG4</t>
  </si>
  <si>
    <t>5_1</t>
  </si>
  <si>
    <t>drag mouse to create rectangle</t>
  </si>
  <si>
    <t>change colour of design object</t>
  </si>
  <si>
    <t>[update][colour] using [colour wheel]</t>
  </si>
  <si>
    <t>zoom in slightly</t>
  </si>
  <si>
    <t>update width in ui bar</t>
  </si>
  <si>
    <t>update height in ui bar</t>
  </si>
  <si>
    <t>eye dropper</t>
  </si>
  <si>
    <t>[eyedropper]</t>
  </si>
  <si>
    <t>zoom out to show an area of interest</t>
  </si>
  <si>
    <t>centre selected within the current frame (uses alignment grids)</t>
  </si>
  <si>
    <t>duplicate design object to new position aligned with other objects</t>
  </si>
  <si>
    <t>[duplicate] [reference] to [new position] using [alignment grids]</t>
  </si>
  <si>
    <t>zoom to focus area of interest</t>
  </si>
  <si>
    <t>move design object closer to other design object whilst keeping it aligned</t>
  </si>
  <si>
    <t>[drag] [reference] to [new position] using [cursor] and [alignment grids] and [reference(s)]</t>
  </si>
  <si>
    <t>duplicate design object with the same spacing</t>
  </si>
  <si>
    <t>move design object to align with three other reference objects</t>
  </si>
  <si>
    <t>zoom out a bit</t>
  </si>
  <si>
    <t>drag to increase height of design object a little bit (alignment grids used)</t>
  </si>
  <si>
    <t>[drag] [reference] to [resize] using [alignment grids]</t>
  </si>
  <si>
    <t>alignment resizing</t>
  </si>
  <si>
    <t>duplicate design object to new position aligned with other objects (further away) (alignment grids used)</t>
  </si>
  <si>
    <t>move design object up a bit (whilst aligning with other reference objects)</t>
  </si>
  <si>
    <t>update design object corners to be rounded in ui panel</t>
  </si>
  <si>
    <t>leave figma</t>
  </si>
  <si>
    <t>[exit figma]</t>
  </si>
  <si>
    <t>switch to another app</t>
  </si>
  <si>
    <t>paste image</t>
  </si>
  <si>
    <t>move image down below other design objects</t>
  </si>
  <si>
    <t>zoom out a lot and pan around</t>
  </si>
  <si>
    <t>zoom back in to focus main context or area of interest</t>
  </si>
  <si>
    <t>duplicate to new position away from other reference objects</t>
  </si>
  <si>
    <t>[duplicate] [reference] to [new position] using [reference(s)]</t>
  </si>
  <si>
    <t>zoom and pan</t>
  </si>
  <si>
    <t>click UI button</t>
  </si>
  <si>
    <t xml:space="preserve"> Food Ordering Mobile App Design in Figma | UI/UX (Wireframe, Prototype) Figma tutorial</t>
  </si>
  <si>
    <t>https://www.youtube.com/watch?v=Yf00MKUfcIY</t>
  </si>
  <si>
    <t>6_1</t>
  </si>
  <si>
    <t xml:space="preserve">deselect </t>
  </si>
  <si>
    <t xml:space="preserve">zoom out </t>
  </si>
  <si>
    <t>reposition viewport</t>
  </si>
  <si>
    <t>[navigate] to focus [reference]</t>
  </si>
  <si>
    <t>deep select object</t>
  </si>
  <si>
    <t>expand ui menu (rectangle toolbar)</t>
  </si>
  <si>
    <t>select ellipse tool</t>
  </si>
  <si>
    <t>drag to create ellipse</t>
  </si>
  <si>
    <t>drag to resize ellipse (incrementally until it looks right?)</t>
  </si>
  <si>
    <t>update width in ui panel</t>
  </si>
  <si>
    <t>zoom a bit</t>
  </si>
  <si>
    <t>drag to reposition object (uses alignment grids)</t>
  </si>
  <si>
    <t>duplicate</t>
  </si>
  <si>
    <t>these are just repeating the same actions many times</t>
  </si>
  <si>
    <t>layers panel also scrolls due to clicking ob design object</t>
  </si>
  <si>
    <t>sometimes you might only want to deselect one element from a group</t>
  </si>
  <si>
    <t>[deselect] [reference]</t>
  </si>
  <si>
    <t>[create] [group] from [reference(s)]</t>
  </si>
  <si>
    <t>select colour panel to find eyedropper tool</t>
  </si>
  <si>
    <t>update colour using eyedropper</t>
  </si>
  <si>
    <t>close gui panel</t>
  </si>
  <si>
    <t>zoom out and pan a bit to focus the main design element</t>
  </si>
  <si>
    <t>https://www.youtube.com/watch?v=MR-dH-E5Ais</t>
  </si>
  <si>
    <t>7_1</t>
  </si>
  <si>
    <t>zooming and panning generally</t>
  </si>
  <si>
    <t>zoom out to focus a specific frame</t>
  </si>
  <si>
    <t>load a plugin</t>
  </si>
  <si>
    <t>loading icon from plugin</t>
  </si>
  <si>
    <t>created the icon on the canvas (random position) - in place?</t>
  </si>
  <si>
    <t>[create] [reference] at [new position] on [canvas] [in place]</t>
  </si>
  <si>
    <t>creating design object in place</t>
  </si>
  <si>
    <t>drag icon to new position (kind of freehand)</t>
  </si>
  <si>
    <t>import another icon</t>
  </si>
  <si>
    <t>update autolayout property (vertical spacing)</t>
  </si>
  <si>
    <t>scroll and open up colour panel</t>
  </si>
  <si>
    <t>[cut]</t>
  </si>
  <si>
    <t>pan up</t>
  </si>
  <si>
    <t>[paste]</t>
  </si>
  <si>
    <t>Wireframing w/ Figma | Building a MVP | Code with Me | Twitch VOD 03-01-25</t>
  </si>
  <si>
    <t>https://www.youtube.com/watch?v=1m1IqcBaNGg</t>
  </si>
  <si>
    <t>9_1</t>
  </si>
  <si>
    <t>drag object to new position - visually trying out different things</t>
  </si>
  <si>
    <t>underline text / update text property</t>
  </si>
  <si>
    <t>a lot of incremental positioning to figure out where to put it</t>
  </si>
  <si>
    <t>pan around in different directions</t>
  </si>
  <si>
    <t>Design some social media templates with me! [Livestream Replay]</t>
  </si>
  <si>
    <t>https://www.youtube.com/watch?v=uz9tPsak9pM&amp;list=PLrJQSKQvgHS73G9sOhMhmWk-JoJZsyPiX</t>
  </si>
  <si>
    <t>10_1</t>
  </si>
  <si>
    <t>select assets on toolbar</t>
  </si>
  <si>
    <t>scroll through assets</t>
  </si>
  <si>
    <t>drag and drop asset</t>
  </si>
  <si>
    <t>very small resizing</t>
  </si>
  <si>
    <t>update colour using GUI</t>
  </si>
  <si>
    <t>zoom out and in again</t>
  </si>
  <si>
    <t>change design file e.g. navigating through figma interface to find new assets file</t>
  </si>
  <si>
    <t>[copy]</t>
  </si>
  <si>
    <t>switch back to original design file</t>
  </si>
  <si>
    <t>actions</t>
  </si>
  <si>
    <t>update autolayout</t>
  </si>
  <si>
    <t>creating text using alignment</t>
  </si>
  <si>
    <t>resize design object</t>
  </si>
  <si>
    <t>[hover] over [reference(s)] on [canvas]</t>
  </si>
  <si>
    <t>ASMR UI Designing in FIGMA - STRIPE - No Talking | Silent</t>
  </si>
  <si>
    <t>https://www.youtube.com/watch?v=YNxU9YPZRSM&amp;list=PLuCVsS_EScKHdEgqHps_rFxCFX8IpUF8g&amp;index=3</t>
  </si>
  <si>
    <t>Design UI with me LIVE! UI Design #14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</si>
</sst>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8">
    <fill>
      <patternFill patternType="none"/>
    </fill>
    <fill>
      <patternFill patternType="gray125"/>
    </fill>
    <fill>
      <patternFill patternType="solid">
        <fgColor rgb="FFB8E8D8"/>
      </patternFill>
    </fill>
    <fill>
      <patternFill patternType="solid">
        <fgColor rgb="FFB9E9D9"/>
        <bgColor indexed="64"/>
      </patternFill>
    </fill>
    <fill>
      <patternFill patternType="solid">
        <fgColor rgb="FFBAEADA"/>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rgb="FFF28B82"/>
      </patternFill>
    </fill>
  </fills>
  <borders count="1">
    <border>
      <left/>
      <right/>
      <top/>
      <bottom/>
      <diagonal/>
    </border>
  </borders>
  <cellStyleXfs count="2">
    <xf numFmtId="0" fontId="0" fillId="0" borderId="0"/>
    <xf numFmtId="0" fontId="8" fillId="0" borderId="0"/>
  </cellStyleXfs>
  <cellXfs count="25">
    <xf numFmtId="0" fontId="0" fillId="0" borderId="0" xfId="0"/>
    <xf numFmtId="0" fontId="7" fillId="0" borderId="0" xfId="0" applyFont="1"/>
    <xf numFmtId="2" fontId="7" fillId="0" borderId="0" xfId="0" applyNumberFormat="1" applyFont="1"/>
    <xf numFmtId="2" fontId="0" fillId="0" borderId="0" xfId="0" applyNumberFormat="1"/>
    <xf numFmtId="0" fontId="9" fillId="0" borderId="0" xfId="0" applyFont="1"/>
    <xf numFmtId="2" fontId="9" fillId="0" borderId="0" xfId="0" applyNumberFormat="1" applyFont="1"/>
    <xf numFmtId="16" fontId="9" fillId="0" borderId="0" xfId="0" applyNumberFormat="1" applyFont="1"/>
    <xf numFmtId="2" fontId="6" fillId="0" borderId="0" xfId="0" applyNumberFormat="1" applyFont="1"/>
    <xf numFmtId="0" fontId="6" fillId="0" borderId="0" xfId="0" applyFont="1"/>
    <xf numFmtId="0" fontId="10" fillId="0" borderId="0" xfId="0" applyFont="1"/>
    <xf numFmtId="0" fontId="8" fillId="0" borderId="0" xfId="1"/>
    <xf numFmtId="0" fontId="11" fillId="0" borderId="0" xfId="0" applyFont="1"/>
    <xf numFmtId="0" fontId="0" fillId="0" borderId="0" xfId="0" applyAlignment="1">
      <alignment wrapText="1"/>
    </xf>
    <xf numFmtId="0" fontId="5" fillId="0" borderId="0" xfId="0" applyFont="1"/>
    <xf numFmtId="0" fontId="0" fillId="2" borderId="0" xfId="0" applyFill="1"/>
    <xf numFmtId="0" fontId="0" fillId="3" borderId="0" xfId="0" applyFill="1"/>
    <xf numFmtId="0" fontId="4" fillId="0" borderId="0" xfId="0" applyFont="1"/>
    <xf numFmtId="0" fontId="0" fillId="4" borderId="0" xfId="0" applyFill="1"/>
    <xf numFmtId="0" fontId="3" fillId="0" borderId="0" xfId="0" applyFont="1"/>
    <xf numFmtId="0" fontId="0" fillId="5" borderId="0" xfId="0" applyFill="1"/>
    <xf numFmtId="0" fontId="2" fillId="0" borderId="0" xfId="0" applyFont="1"/>
    <xf numFmtId="0" fontId="1" fillId="0" borderId="0" xfId="0" applyFont="1"/>
    <xf numFmtId="0" fontId="11" fillId="5" borderId="0" xfId="0" applyFont="1" applyFill="1"/>
    <xf numFmtId="0" fontId="11" fillId="6" borderId="0" xfId="0" applyFont="1" applyFill="1"/>
    <xf numFmtId="0" fontId="0" fillId="7"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649D996-6833-C548-BBDE-C83189B87AE7}">
  <we:reference id="93533c7f-4dc5-468f-aba4-1c008e1a7ac8" version="1.0.0.8" store="EXCatalog" storeType="EXCatalog"/>
  <we:alternateReferences>
    <we:reference id="WA200003101" version="1.0.0.8" store="en-US" storeType="OMEX"/>
  </we:alternateReferences>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JkC4o1U5zgM&amp;list=PLfrBp-7QhDqtmJ8oAjYhP6PLQqwDI0z1S&amp;index=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watch?v=OLb7Rqo1KVQ"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k0fbFIAUwfA&amp;t=1052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ajwuqQDeeG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watch?v=Yf00MKUfcIY"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watch?v=MR-dH-E5Ai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watch?v=YNxU9YPZRSM&amp;list=PLuCVsS_EScKHdEgqHps_rFxCFX8IpUF8g&amp;index=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youtube.com/watch?v=1m1IqcBaNGg"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youtube.com/watch?v=uz9tPsak9pM&amp;list=PLrJQSKQvgHS73G9sOhMhmWk-JoJZsyP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000-000000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2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3000000}">
      <formula1>"canvas,gui"</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11"/>
  <sheetViews>
    <sheetView zoomScale="156"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8.83203125" bestFit="1" customWidth="1"/>
    <col min="7" max="7" width="78" bestFit="1" customWidth="1"/>
    <col min="8" max="8" width="33" customWidth="1"/>
    <col min="9" max="9" width="26.83203125" customWidth="1"/>
    <col min="10" max="10" width="3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5" t="s">
        <v>18</v>
      </c>
      <c r="T1" s="4" t="s">
        <v>19</v>
      </c>
      <c r="U1" s="4" t="s">
        <v>20</v>
      </c>
    </row>
    <row r="2" spans="1:21" ht="16" customHeight="1" x14ac:dyDescent="0.2">
      <c r="A2" s="4" t="s">
        <v>86</v>
      </c>
      <c r="B2" s="10" t="s">
        <v>87</v>
      </c>
      <c r="C2" s="6" t="s">
        <v>88</v>
      </c>
      <c r="D2" s="7">
        <v>0.21</v>
      </c>
      <c r="E2" s="5">
        <f>D2</f>
        <v>0.21</v>
      </c>
      <c r="F2" s="13"/>
      <c r="G2" s="4" t="s">
        <v>89</v>
      </c>
      <c r="I2" s="4" t="s">
        <v>45</v>
      </c>
      <c r="J2" s="4" t="s">
        <v>90</v>
      </c>
      <c r="K2" s="4" t="s">
        <v>91</v>
      </c>
      <c r="L2" s="4"/>
      <c r="M2" s="4" t="s">
        <v>27</v>
      </c>
      <c r="N2" s="4" t="s">
        <v>28</v>
      </c>
      <c r="O2" s="4">
        <f t="shared" ref="O2:O33" si="0">(INT(D2)*60+(D2-INT(D2))*100)-(INT($D$2)*60+($D$2-INT($D$2))*100)</f>
        <v>0</v>
      </c>
      <c r="P2" s="4">
        <f t="shared" ref="P2:P33" si="1">(INT(E2)*60+(E2-INT(E2))*100)-(INT($D$2)*60+($D$2-INT($D$2))*100)</f>
        <v>0</v>
      </c>
      <c r="Q2">
        <f t="shared" ref="Q2:Q33" si="2">P2-O2</f>
        <v>0</v>
      </c>
      <c r="R2" t="str">
        <f t="shared" ref="R2:R33" si="3">IF(Q2=0,"&lt;1 second","&lt;"&amp;(ROUND(Q2,2)+1)&amp;" seconds")</f>
        <v>&lt;1 second</v>
      </c>
      <c r="S2" s="3">
        <f t="shared" ref="S2:S33" si="4">Q2+1</f>
        <v>1</v>
      </c>
      <c r="T2">
        <f t="shared" ref="T2:T33" si="5">Q2+0.5</f>
        <v>0.5</v>
      </c>
      <c r="U2" s="4" t="s">
        <v>92</v>
      </c>
    </row>
    <row r="3" spans="1:21" ht="16" customHeight="1" x14ac:dyDescent="0.2">
      <c r="A3" s="8"/>
      <c r="B3" s="8"/>
      <c r="C3" s="8"/>
      <c r="D3" s="7">
        <v>0.22</v>
      </c>
      <c r="E3" s="5">
        <f>D3</f>
        <v>0.22</v>
      </c>
      <c r="F3" s="13" t="s">
        <v>93</v>
      </c>
      <c r="G3" s="13" t="s">
        <v>31</v>
      </c>
      <c r="I3" s="8" t="s">
        <v>32</v>
      </c>
      <c r="J3" s="8" t="s">
        <v>33</v>
      </c>
      <c r="K3" s="8" t="s">
        <v>26</v>
      </c>
      <c r="L3" s="8"/>
      <c r="M3" t="s">
        <v>34</v>
      </c>
      <c r="N3" s="8" t="s">
        <v>93</v>
      </c>
      <c r="O3" s="4">
        <f t="shared" si="0"/>
        <v>1</v>
      </c>
      <c r="P3" s="4">
        <f t="shared" si="1"/>
        <v>1</v>
      </c>
      <c r="Q3">
        <f t="shared" si="2"/>
        <v>0</v>
      </c>
      <c r="R3" t="str">
        <f t="shared" si="3"/>
        <v>&lt;1 second</v>
      </c>
      <c r="S3" s="3">
        <f t="shared" si="4"/>
        <v>1</v>
      </c>
      <c r="T3">
        <f t="shared" si="5"/>
        <v>0.5</v>
      </c>
      <c r="U3" s="8"/>
    </row>
    <row r="4" spans="1:21" ht="16" customHeight="1" x14ac:dyDescent="0.2">
      <c r="A4" s="8"/>
      <c r="B4" s="8"/>
      <c r="C4" s="8"/>
      <c r="D4" s="7">
        <v>0.22</v>
      </c>
      <c r="E4" s="5">
        <f>D4</f>
        <v>0.22</v>
      </c>
      <c r="F4" s="13"/>
      <c r="G4" s="8" t="s">
        <v>44</v>
      </c>
      <c r="I4" s="4" t="s">
        <v>45</v>
      </c>
      <c r="J4" s="4" t="s">
        <v>46</v>
      </c>
      <c r="K4" s="8" t="s">
        <v>47</v>
      </c>
      <c r="L4" s="8"/>
      <c r="M4" s="8" t="s">
        <v>27</v>
      </c>
      <c r="N4" s="4" t="s">
        <v>28</v>
      </c>
      <c r="O4" s="4">
        <f t="shared" si="0"/>
        <v>1</v>
      </c>
      <c r="P4" s="4">
        <f t="shared" si="1"/>
        <v>1</v>
      </c>
      <c r="Q4">
        <f t="shared" si="2"/>
        <v>0</v>
      </c>
      <c r="R4" t="str">
        <f t="shared" si="3"/>
        <v>&lt;1 second</v>
      </c>
      <c r="S4" s="3">
        <f t="shared" si="4"/>
        <v>1</v>
      </c>
      <c r="T4">
        <f t="shared" si="5"/>
        <v>0.5</v>
      </c>
      <c r="U4" s="8"/>
    </row>
    <row r="5" spans="1:21" ht="16" customHeight="1" x14ac:dyDescent="0.2">
      <c r="A5" s="8"/>
      <c r="B5" s="8"/>
      <c r="C5" s="8"/>
      <c r="D5" s="7">
        <v>0.23</v>
      </c>
      <c r="E5" s="7">
        <f>D5</f>
        <v>0.23</v>
      </c>
      <c r="F5" s="13"/>
      <c r="G5" s="13" t="s">
        <v>94</v>
      </c>
      <c r="I5" s="8" t="s">
        <v>95</v>
      </c>
      <c r="J5" s="8" t="s">
        <v>96</v>
      </c>
      <c r="K5" s="8" t="s">
        <v>26</v>
      </c>
      <c r="L5" s="8"/>
      <c r="M5" s="8" t="s">
        <v>27</v>
      </c>
      <c r="N5" s="8" t="s">
        <v>95</v>
      </c>
      <c r="O5" s="4">
        <f t="shared" si="0"/>
        <v>2</v>
      </c>
      <c r="P5" s="4">
        <f t="shared" si="1"/>
        <v>2</v>
      </c>
      <c r="Q5">
        <f t="shared" si="2"/>
        <v>0</v>
      </c>
      <c r="R5" t="str">
        <f t="shared" si="3"/>
        <v>&lt;1 second</v>
      </c>
      <c r="S5" s="3">
        <f t="shared" si="4"/>
        <v>1</v>
      </c>
      <c r="T5">
        <f t="shared" si="5"/>
        <v>0.5</v>
      </c>
      <c r="U5" s="8" t="s">
        <v>97</v>
      </c>
    </row>
    <row r="6" spans="1:21" ht="16" customHeight="1" x14ac:dyDescent="0.2">
      <c r="A6" s="8"/>
      <c r="B6" s="8"/>
      <c r="C6" s="8"/>
      <c r="D6" s="7">
        <v>0.23</v>
      </c>
      <c r="E6" s="7">
        <v>0.26</v>
      </c>
      <c r="F6" s="13"/>
      <c r="G6" s="8" t="s">
        <v>98</v>
      </c>
      <c r="I6" s="8" t="s">
        <v>99</v>
      </c>
      <c r="J6" s="8" t="s">
        <v>99</v>
      </c>
      <c r="K6" s="8" t="s">
        <v>42</v>
      </c>
      <c r="L6" s="8"/>
      <c r="M6" s="8" t="s">
        <v>27</v>
      </c>
      <c r="N6" s="8" t="s">
        <v>99</v>
      </c>
      <c r="O6" s="4">
        <f t="shared" si="0"/>
        <v>2</v>
      </c>
      <c r="P6" s="4">
        <f t="shared" si="1"/>
        <v>5</v>
      </c>
      <c r="Q6">
        <f t="shared" si="2"/>
        <v>3</v>
      </c>
      <c r="R6" t="str">
        <f t="shared" si="3"/>
        <v>&lt;4 seconds</v>
      </c>
      <c r="S6" s="3">
        <f t="shared" si="4"/>
        <v>4</v>
      </c>
      <c r="T6">
        <f t="shared" si="5"/>
        <v>3.5</v>
      </c>
      <c r="U6" s="8"/>
    </row>
    <row r="7" spans="1:21" ht="16" customHeight="1" x14ac:dyDescent="0.2">
      <c r="A7" s="8"/>
      <c r="B7" s="8"/>
      <c r="C7" s="8"/>
      <c r="D7" s="7">
        <v>0.26</v>
      </c>
      <c r="E7" s="7">
        <v>0.27</v>
      </c>
      <c r="F7" s="13"/>
      <c r="G7" s="13" t="s">
        <v>31</v>
      </c>
      <c r="I7" s="8" t="s">
        <v>100</v>
      </c>
      <c r="J7" s="8" t="s">
        <v>100</v>
      </c>
      <c r="K7" s="8" t="s">
        <v>26</v>
      </c>
      <c r="L7" s="8"/>
      <c r="M7" s="8" t="s">
        <v>34</v>
      </c>
      <c r="N7" s="8" t="s">
        <v>101</v>
      </c>
      <c r="O7" s="4">
        <f t="shared" si="0"/>
        <v>5</v>
      </c>
      <c r="P7" s="4">
        <f t="shared" si="1"/>
        <v>6</v>
      </c>
      <c r="Q7">
        <f t="shared" si="2"/>
        <v>1</v>
      </c>
      <c r="R7" t="str">
        <f t="shared" si="3"/>
        <v>&lt;2 seconds</v>
      </c>
      <c r="S7" s="3">
        <f t="shared" si="4"/>
        <v>2</v>
      </c>
      <c r="T7">
        <f t="shared" si="5"/>
        <v>1.5</v>
      </c>
      <c r="U7" s="8"/>
    </row>
    <row r="8" spans="1:21" ht="16" customHeight="1" x14ac:dyDescent="0.2">
      <c r="A8" s="8"/>
      <c r="B8" s="8"/>
      <c r="C8" s="8"/>
      <c r="D8" s="7">
        <v>0.27</v>
      </c>
      <c r="E8" s="7">
        <v>0.28000000000000003</v>
      </c>
      <c r="F8" s="13"/>
      <c r="G8" s="13" t="s">
        <v>31</v>
      </c>
      <c r="I8" s="8" t="s">
        <v>100</v>
      </c>
      <c r="J8" s="8" t="s">
        <v>100</v>
      </c>
      <c r="K8" s="8" t="s">
        <v>102</v>
      </c>
      <c r="L8" s="8"/>
      <c r="M8" s="8" t="s">
        <v>34</v>
      </c>
      <c r="N8" s="8" t="s">
        <v>103</v>
      </c>
      <c r="O8" s="4">
        <f t="shared" si="0"/>
        <v>6</v>
      </c>
      <c r="P8" s="4">
        <f t="shared" si="1"/>
        <v>7.0000000000000036</v>
      </c>
      <c r="Q8">
        <f t="shared" si="2"/>
        <v>1.0000000000000036</v>
      </c>
      <c r="R8" t="str">
        <f t="shared" si="3"/>
        <v>&lt;2 seconds</v>
      </c>
      <c r="S8" s="3">
        <f t="shared" si="4"/>
        <v>2.0000000000000036</v>
      </c>
      <c r="T8">
        <f t="shared" si="5"/>
        <v>1.5000000000000036</v>
      </c>
      <c r="U8" s="8"/>
    </row>
    <row r="9" spans="1:21" ht="16" customHeight="1" x14ac:dyDescent="0.2">
      <c r="A9" s="8"/>
      <c r="B9" s="8"/>
      <c r="C9" s="8"/>
      <c r="D9" s="7">
        <v>0.28999999999999998</v>
      </c>
      <c r="E9" s="7">
        <f>D9</f>
        <v>0.28999999999999998</v>
      </c>
      <c r="F9" s="13"/>
      <c r="G9" s="13" t="s">
        <v>84</v>
      </c>
      <c r="I9" s="8" t="s">
        <v>76</v>
      </c>
      <c r="J9" s="8" t="s">
        <v>85</v>
      </c>
      <c r="K9" s="8" t="s">
        <v>26</v>
      </c>
      <c r="L9" s="8"/>
      <c r="M9" s="8" t="s">
        <v>27</v>
      </c>
      <c r="N9" s="20" t="s">
        <v>76</v>
      </c>
      <c r="O9" s="4">
        <f t="shared" si="0"/>
        <v>7.9999999999999964</v>
      </c>
      <c r="P9" s="4">
        <f t="shared" si="1"/>
        <v>7.9999999999999964</v>
      </c>
      <c r="Q9">
        <f t="shared" si="2"/>
        <v>0</v>
      </c>
      <c r="R9" t="str">
        <f t="shared" si="3"/>
        <v>&lt;1 second</v>
      </c>
      <c r="S9" s="3">
        <f t="shared" si="4"/>
        <v>1</v>
      </c>
      <c r="T9">
        <f t="shared" si="5"/>
        <v>0.5</v>
      </c>
      <c r="U9" s="8"/>
    </row>
    <row r="10" spans="1:21" ht="16" customHeight="1" x14ac:dyDescent="0.2">
      <c r="A10" s="8"/>
      <c r="B10" s="8"/>
      <c r="C10" s="8"/>
      <c r="D10" s="7">
        <v>0.3</v>
      </c>
      <c r="E10" s="7">
        <v>0.33</v>
      </c>
      <c r="F10" s="13"/>
      <c r="G10" s="13" t="s">
        <v>104</v>
      </c>
      <c r="I10" s="8" t="s">
        <v>76</v>
      </c>
      <c r="J10" s="8" t="s">
        <v>85</v>
      </c>
      <c r="K10" s="8" t="s">
        <v>42</v>
      </c>
      <c r="L10" s="8"/>
      <c r="M10" s="8" t="s">
        <v>27</v>
      </c>
      <c r="N10" s="20" t="s">
        <v>76</v>
      </c>
      <c r="O10" s="4">
        <f t="shared" si="0"/>
        <v>9</v>
      </c>
      <c r="P10" s="4">
        <f t="shared" si="1"/>
        <v>12</v>
      </c>
      <c r="Q10">
        <f t="shared" si="2"/>
        <v>3</v>
      </c>
      <c r="R10" t="str">
        <f t="shared" si="3"/>
        <v>&lt;4 seconds</v>
      </c>
      <c r="S10" s="3">
        <f t="shared" si="4"/>
        <v>4</v>
      </c>
      <c r="T10">
        <f t="shared" si="5"/>
        <v>3.5</v>
      </c>
      <c r="U10" s="8" t="s">
        <v>105</v>
      </c>
    </row>
    <row r="11" spans="1:21" ht="16" customHeight="1" x14ac:dyDescent="0.2">
      <c r="A11" s="8"/>
      <c r="B11" s="8"/>
      <c r="C11" s="8"/>
      <c r="D11" s="7">
        <v>0.33</v>
      </c>
      <c r="E11" s="7">
        <v>0.34</v>
      </c>
      <c r="F11" s="13"/>
      <c r="G11" s="13" t="s">
        <v>31</v>
      </c>
      <c r="I11" s="8" t="s">
        <v>106</v>
      </c>
      <c r="J11" s="8" t="s">
        <v>106</v>
      </c>
      <c r="K11" s="8" t="s">
        <v>26</v>
      </c>
      <c r="L11" s="8"/>
      <c r="M11" s="8" t="s">
        <v>34</v>
      </c>
      <c r="N11" s="8" t="s">
        <v>106</v>
      </c>
      <c r="O11" s="4">
        <f t="shared" si="0"/>
        <v>12</v>
      </c>
      <c r="P11" s="4">
        <f t="shared" si="1"/>
        <v>13</v>
      </c>
      <c r="Q11">
        <f t="shared" si="2"/>
        <v>1</v>
      </c>
      <c r="R11" t="str">
        <f t="shared" si="3"/>
        <v>&lt;2 seconds</v>
      </c>
      <c r="S11" s="3">
        <f t="shared" si="4"/>
        <v>2</v>
      </c>
      <c r="T11">
        <f t="shared" si="5"/>
        <v>1.5</v>
      </c>
      <c r="U11" s="8"/>
    </row>
    <row r="12" spans="1:21" ht="16" customHeight="1" x14ac:dyDescent="0.2">
      <c r="A12" s="8"/>
      <c r="B12" s="8"/>
      <c r="C12" s="8"/>
      <c r="D12" s="7">
        <v>0.35</v>
      </c>
      <c r="E12" s="7">
        <f>D12</f>
        <v>0.35</v>
      </c>
      <c r="F12" s="13"/>
      <c r="G12" s="8" t="s">
        <v>72</v>
      </c>
      <c r="I12" s="8" t="s">
        <v>73</v>
      </c>
      <c r="J12" s="8" t="s">
        <v>73</v>
      </c>
      <c r="K12" s="8" t="s">
        <v>42</v>
      </c>
      <c r="L12" s="8"/>
      <c r="M12" s="8" t="s">
        <v>27</v>
      </c>
      <c r="N12" s="20" t="s">
        <v>107</v>
      </c>
      <c r="O12" s="4">
        <f t="shared" si="0"/>
        <v>14</v>
      </c>
      <c r="P12" s="4">
        <f t="shared" si="1"/>
        <v>14</v>
      </c>
      <c r="Q12">
        <f t="shared" si="2"/>
        <v>0</v>
      </c>
      <c r="R12" t="str">
        <f t="shared" si="3"/>
        <v>&lt;1 second</v>
      </c>
      <c r="S12" s="3">
        <f t="shared" si="4"/>
        <v>1</v>
      </c>
      <c r="T12">
        <f t="shared" si="5"/>
        <v>0.5</v>
      </c>
      <c r="U12" s="8"/>
    </row>
    <row r="13" spans="1:21" ht="16" customHeight="1" x14ac:dyDescent="0.2">
      <c r="A13" s="8"/>
      <c r="B13" s="8"/>
      <c r="C13" s="8"/>
      <c r="D13" s="7">
        <v>0.35</v>
      </c>
      <c r="E13" s="7">
        <f>D13</f>
        <v>0.35</v>
      </c>
      <c r="F13" s="13"/>
      <c r="G13" s="13" t="s">
        <v>84</v>
      </c>
      <c r="I13" s="8" t="s">
        <v>76</v>
      </c>
      <c r="J13" s="8" t="s">
        <v>85</v>
      </c>
      <c r="K13" s="8" t="s">
        <v>26</v>
      </c>
      <c r="L13" s="8"/>
      <c r="M13" s="8" t="s">
        <v>27</v>
      </c>
      <c r="N13" s="20" t="s">
        <v>76</v>
      </c>
      <c r="O13" s="4">
        <f t="shared" si="0"/>
        <v>14</v>
      </c>
      <c r="P13" s="4">
        <f t="shared" si="1"/>
        <v>14</v>
      </c>
      <c r="Q13">
        <f t="shared" si="2"/>
        <v>0</v>
      </c>
      <c r="R13" t="str">
        <f t="shared" si="3"/>
        <v>&lt;1 second</v>
      </c>
      <c r="S13" s="3">
        <f t="shared" si="4"/>
        <v>1</v>
      </c>
      <c r="T13">
        <f t="shared" si="5"/>
        <v>0.5</v>
      </c>
      <c r="U13" s="8"/>
    </row>
    <row r="14" spans="1:21" ht="16" customHeight="1" x14ac:dyDescent="0.2">
      <c r="A14" s="8"/>
      <c r="B14" s="8"/>
      <c r="C14" s="8"/>
      <c r="D14" s="7">
        <v>0.36</v>
      </c>
      <c r="E14" s="7">
        <f>D14</f>
        <v>0.36</v>
      </c>
      <c r="F14" s="13"/>
      <c r="G14" s="13" t="s">
        <v>108</v>
      </c>
      <c r="I14" s="8" t="s">
        <v>24</v>
      </c>
      <c r="J14" s="8" t="s">
        <v>71</v>
      </c>
      <c r="K14" s="8" t="s">
        <v>26</v>
      </c>
      <c r="L14" s="8"/>
      <c r="M14" s="8" t="s">
        <v>27</v>
      </c>
      <c r="N14" s="20" t="s">
        <v>71</v>
      </c>
      <c r="O14" s="4">
        <f t="shared" si="0"/>
        <v>15</v>
      </c>
      <c r="P14" s="4">
        <f t="shared" si="1"/>
        <v>15</v>
      </c>
      <c r="Q14">
        <f t="shared" si="2"/>
        <v>0</v>
      </c>
      <c r="R14" t="str">
        <f t="shared" si="3"/>
        <v>&lt;1 second</v>
      </c>
      <c r="S14" s="3">
        <f t="shared" si="4"/>
        <v>1</v>
      </c>
      <c r="T14">
        <f t="shared" si="5"/>
        <v>0.5</v>
      </c>
      <c r="U14" s="8"/>
    </row>
    <row r="15" spans="1:21" ht="16" customHeight="1" x14ac:dyDescent="0.2">
      <c r="A15" s="8"/>
      <c r="B15" s="8"/>
      <c r="C15" s="8"/>
      <c r="D15" s="7">
        <v>0.36</v>
      </c>
      <c r="E15" s="7">
        <f>D15</f>
        <v>0.36</v>
      </c>
      <c r="F15" s="13"/>
      <c r="G15" s="8" t="s">
        <v>109</v>
      </c>
      <c r="I15" s="8" t="s">
        <v>80</v>
      </c>
      <c r="J15" s="8" t="s">
        <v>110</v>
      </c>
      <c r="K15" s="8" t="s">
        <v>42</v>
      </c>
      <c r="L15" s="8"/>
      <c r="M15" s="8" t="s">
        <v>27</v>
      </c>
      <c r="N15" s="20" t="s">
        <v>111</v>
      </c>
      <c r="O15" s="4">
        <f t="shared" si="0"/>
        <v>15</v>
      </c>
      <c r="P15" s="4">
        <f t="shared" si="1"/>
        <v>15</v>
      </c>
      <c r="Q15">
        <f t="shared" si="2"/>
        <v>0</v>
      </c>
      <c r="R15" t="str">
        <f t="shared" si="3"/>
        <v>&lt;1 second</v>
      </c>
      <c r="S15" s="3">
        <f t="shared" si="4"/>
        <v>1</v>
      </c>
      <c r="T15">
        <f t="shared" si="5"/>
        <v>0.5</v>
      </c>
      <c r="U15" s="8"/>
    </row>
    <row r="16" spans="1:21" ht="16" customHeight="1" x14ac:dyDescent="0.2">
      <c r="A16" s="8"/>
      <c r="B16" s="8"/>
      <c r="C16" s="8"/>
      <c r="D16" s="7">
        <v>0.37</v>
      </c>
      <c r="E16" s="7">
        <f>D16</f>
        <v>0.37</v>
      </c>
      <c r="F16" s="13"/>
      <c r="G16" s="13" t="s">
        <v>31</v>
      </c>
      <c r="I16" s="8" t="s">
        <v>80</v>
      </c>
      <c r="J16" s="8" t="s">
        <v>110</v>
      </c>
      <c r="K16" s="8" t="s">
        <v>102</v>
      </c>
      <c r="L16" s="8"/>
      <c r="M16" s="8" t="s">
        <v>34</v>
      </c>
      <c r="N16" s="8" t="s">
        <v>112</v>
      </c>
      <c r="O16" s="4">
        <f t="shared" si="0"/>
        <v>16</v>
      </c>
      <c r="P16" s="4">
        <f t="shared" si="1"/>
        <v>16</v>
      </c>
      <c r="Q16">
        <f t="shared" si="2"/>
        <v>0</v>
      </c>
      <c r="R16" t="str">
        <f t="shared" si="3"/>
        <v>&lt;1 second</v>
      </c>
      <c r="S16" s="3">
        <f t="shared" si="4"/>
        <v>1</v>
      </c>
      <c r="T16">
        <f t="shared" si="5"/>
        <v>0.5</v>
      </c>
      <c r="U16" s="8"/>
    </row>
    <row r="17" spans="1:21" ht="16" customHeight="1" x14ac:dyDescent="0.2">
      <c r="A17" s="8"/>
      <c r="B17" s="8"/>
      <c r="C17" s="8"/>
      <c r="D17" s="7">
        <v>0.37</v>
      </c>
      <c r="E17" s="7">
        <v>0.38</v>
      </c>
      <c r="F17" s="13"/>
      <c r="G17" s="13" t="s">
        <v>50</v>
      </c>
      <c r="I17" s="8" t="s">
        <v>24</v>
      </c>
      <c r="J17" s="8" t="s">
        <v>51</v>
      </c>
      <c r="K17" s="8" t="s">
        <v>26</v>
      </c>
      <c r="L17" s="8"/>
      <c r="M17" s="8" t="s">
        <v>27</v>
      </c>
      <c r="N17" s="20" t="s">
        <v>51</v>
      </c>
      <c r="O17" s="4">
        <f t="shared" si="0"/>
        <v>16</v>
      </c>
      <c r="P17" s="4">
        <f t="shared" si="1"/>
        <v>17</v>
      </c>
      <c r="Q17">
        <f t="shared" si="2"/>
        <v>1</v>
      </c>
      <c r="R17" t="str">
        <f t="shared" si="3"/>
        <v>&lt;2 seconds</v>
      </c>
      <c r="S17" s="3">
        <f t="shared" si="4"/>
        <v>2</v>
      </c>
      <c r="T17">
        <f t="shared" si="5"/>
        <v>1.5</v>
      </c>
      <c r="U17" s="8"/>
    </row>
    <row r="18" spans="1:21" ht="16" customHeight="1" x14ac:dyDescent="0.2">
      <c r="A18" s="8"/>
      <c r="B18" s="8"/>
      <c r="C18" s="8"/>
      <c r="D18" s="7">
        <v>0.38</v>
      </c>
      <c r="E18" s="7">
        <f>D18</f>
        <v>0.38</v>
      </c>
      <c r="F18" s="13"/>
      <c r="G18" s="13" t="s">
        <v>50</v>
      </c>
      <c r="I18" s="8" t="s">
        <v>24</v>
      </c>
      <c r="J18" s="8" t="s">
        <v>51</v>
      </c>
      <c r="K18" s="8" t="s">
        <v>26</v>
      </c>
      <c r="L18" s="8"/>
      <c r="M18" s="8" t="s">
        <v>27</v>
      </c>
      <c r="N18" s="20" t="s">
        <v>51</v>
      </c>
      <c r="O18" s="4">
        <f t="shared" si="0"/>
        <v>17</v>
      </c>
      <c r="P18" s="4">
        <f t="shared" si="1"/>
        <v>17</v>
      </c>
      <c r="Q18">
        <f t="shared" si="2"/>
        <v>0</v>
      </c>
      <c r="R18" t="str">
        <f t="shared" si="3"/>
        <v>&lt;1 second</v>
      </c>
      <c r="S18" s="3">
        <f t="shared" si="4"/>
        <v>1</v>
      </c>
      <c r="T18">
        <f t="shared" si="5"/>
        <v>0.5</v>
      </c>
      <c r="U18" s="8"/>
    </row>
    <row r="19" spans="1:21" ht="16" customHeight="1" x14ac:dyDescent="0.2">
      <c r="A19" s="8"/>
      <c r="B19" s="8"/>
      <c r="C19" s="8"/>
      <c r="D19" s="7">
        <v>0.38</v>
      </c>
      <c r="E19" s="7">
        <v>0.39</v>
      </c>
      <c r="F19" s="13"/>
      <c r="G19" s="8" t="s">
        <v>68</v>
      </c>
      <c r="I19" s="8"/>
      <c r="J19" s="8"/>
      <c r="K19" s="8"/>
      <c r="L19" s="8"/>
      <c r="M19" s="8"/>
      <c r="N19" s="20" t="s">
        <v>113</v>
      </c>
      <c r="O19" s="4">
        <f t="shared" si="0"/>
        <v>17</v>
      </c>
      <c r="P19" s="4">
        <f t="shared" si="1"/>
        <v>18</v>
      </c>
      <c r="Q19">
        <f t="shared" si="2"/>
        <v>1</v>
      </c>
      <c r="R19" t="str">
        <f t="shared" si="3"/>
        <v>&lt;2 seconds</v>
      </c>
      <c r="S19" s="3">
        <f t="shared" si="4"/>
        <v>2</v>
      </c>
      <c r="T19">
        <f t="shared" si="5"/>
        <v>1.5</v>
      </c>
      <c r="U19" s="8"/>
    </row>
    <row r="20" spans="1:21" ht="16" customHeight="1" x14ac:dyDescent="0.2">
      <c r="A20" s="8"/>
      <c r="B20" s="8"/>
      <c r="C20" s="8"/>
      <c r="D20" s="7">
        <v>0.39</v>
      </c>
      <c r="E20" s="7">
        <v>0.4</v>
      </c>
      <c r="F20" s="13"/>
      <c r="G20" s="13" t="s">
        <v>31</v>
      </c>
      <c r="I20" s="18" t="s">
        <v>106</v>
      </c>
      <c r="J20" s="8" t="s">
        <v>106</v>
      </c>
      <c r="K20" s="8" t="s">
        <v>102</v>
      </c>
      <c r="L20" s="9"/>
      <c r="M20" s="8" t="s">
        <v>34</v>
      </c>
      <c r="N20" s="8" t="s">
        <v>106</v>
      </c>
      <c r="O20" s="4">
        <f t="shared" si="0"/>
        <v>18</v>
      </c>
      <c r="P20" s="4">
        <f t="shared" si="1"/>
        <v>19</v>
      </c>
      <c r="Q20">
        <f t="shared" si="2"/>
        <v>1</v>
      </c>
      <c r="R20" t="str">
        <f t="shared" si="3"/>
        <v>&lt;2 seconds</v>
      </c>
      <c r="S20" s="3">
        <f t="shared" si="4"/>
        <v>2</v>
      </c>
      <c r="T20">
        <f t="shared" si="5"/>
        <v>1.5</v>
      </c>
      <c r="U20" s="8"/>
    </row>
    <row r="21" spans="1:21" ht="16" customHeight="1" x14ac:dyDescent="0.2">
      <c r="A21" s="8"/>
      <c r="B21" s="8"/>
      <c r="C21" s="8"/>
      <c r="D21" s="7">
        <v>0.43</v>
      </c>
      <c r="E21" s="7">
        <v>0.43</v>
      </c>
      <c r="F21" s="13"/>
      <c r="G21" s="13" t="s">
        <v>50</v>
      </c>
      <c r="I21" s="8" t="s">
        <v>24</v>
      </c>
      <c r="J21" s="8" t="s">
        <v>51</v>
      </c>
      <c r="K21" s="8" t="s">
        <v>26</v>
      </c>
      <c r="L21" s="8"/>
      <c r="M21" s="8" t="s">
        <v>27</v>
      </c>
      <c r="N21" s="20" t="s">
        <v>51</v>
      </c>
      <c r="O21" s="4">
        <f t="shared" si="0"/>
        <v>22</v>
      </c>
      <c r="P21" s="4">
        <f t="shared" si="1"/>
        <v>22</v>
      </c>
      <c r="Q21">
        <f t="shared" si="2"/>
        <v>0</v>
      </c>
      <c r="R21" t="str">
        <f t="shared" si="3"/>
        <v>&lt;1 second</v>
      </c>
      <c r="S21" s="3">
        <f t="shared" si="4"/>
        <v>1</v>
      </c>
      <c r="T21">
        <f t="shared" si="5"/>
        <v>0.5</v>
      </c>
      <c r="U21" s="8"/>
    </row>
    <row r="22" spans="1:21" ht="16" customHeight="1" x14ac:dyDescent="0.2">
      <c r="A22" s="8"/>
      <c r="B22" s="8"/>
      <c r="C22" s="8"/>
      <c r="D22" s="7">
        <v>0.44</v>
      </c>
      <c r="E22" s="7">
        <v>0.46</v>
      </c>
      <c r="F22" s="13"/>
      <c r="G22" s="13" t="s">
        <v>31</v>
      </c>
      <c r="I22" s="8" t="s">
        <v>114</v>
      </c>
      <c r="J22" s="8" t="s">
        <v>53</v>
      </c>
      <c r="K22" s="8" t="s">
        <v>102</v>
      </c>
      <c r="L22" s="8"/>
      <c r="M22" s="8" t="s">
        <v>34</v>
      </c>
      <c r="N22" s="8" t="s">
        <v>115</v>
      </c>
      <c r="O22" s="4">
        <f t="shared" si="0"/>
        <v>23</v>
      </c>
      <c r="P22" s="4">
        <f t="shared" si="1"/>
        <v>25</v>
      </c>
      <c r="Q22">
        <f t="shared" si="2"/>
        <v>2</v>
      </c>
      <c r="R22" t="str">
        <f t="shared" si="3"/>
        <v>&lt;3 seconds</v>
      </c>
      <c r="S22" s="3">
        <f t="shared" si="4"/>
        <v>3</v>
      </c>
      <c r="T22">
        <f t="shared" si="5"/>
        <v>2.5</v>
      </c>
      <c r="U22" s="8"/>
    </row>
    <row r="23" spans="1:21" ht="16" customHeight="1" x14ac:dyDescent="0.2">
      <c r="A23" s="8"/>
      <c r="B23" s="8"/>
      <c r="C23" s="8"/>
      <c r="D23" s="7">
        <v>0.47</v>
      </c>
      <c r="E23" s="7">
        <f>D23</f>
        <v>0.47</v>
      </c>
      <c r="F23" s="13"/>
      <c r="G23" s="13" t="s">
        <v>116</v>
      </c>
      <c r="I23" s="8" t="s">
        <v>24</v>
      </c>
      <c r="J23" s="8" t="s">
        <v>117</v>
      </c>
      <c r="K23" s="8" t="s">
        <v>118</v>
      </c>
      <c r="L23" s="8"/>
      <c r="M23" s="8" t="s">
        <v>27</v>
      </c>
      <c r="N23" s="20" t="s">
        <v>51</v>
      </c>
      <c r="O23" s="4">
        <f t="shared" si="0"/>
        <v>26</v>
      </c>
      <c r="P23" s="4">
        <f t="shared" si="1"/>
        <v>26</v>
      </c>
      <c r="Q23">
        <f t="shared" si="2"/>
        <v>0</v>
      </c>
      <c r="R23" t="str">
        <f t="shared" si="3"/>
        <v>&lt;1 second</v>
      </c>
      <c r="S23" s="3">
        <f t="shared" si="4"/>
        <v>1</v>
      </c>
      <c r="T23">
        <f t="shared" si="5"/>
        <v>0.5</v>
      </c>
      <c r="U23" s="8"/>
    </row>
    <row r="24" spans="1:21" ht="16" customHeight="1" x14ac:dyDescent="0.2">
      <c r="A24" s="8"/>
      <c r="B24" s="8"/>
      <c r="C24" s="8"/>
      <c r="D24" s="7">
        <v>0.47</v>
      </c>
      <c r="E24" s="7">
        <v>0.48</v>
      </c>
      <c r="F24" s="13"/>
      <c r="G24" s="13" t="s">
        <v>31</v>
      </c>
      <c r="I24" s="8" t="s">
        <v>114</v>
      </c>
      <c r="J24" s="8" t="s">
        <v>53</v>
      </c>
      <c r="K24" s="8" t="s">
        <v>102</v>
      </c>
      <c r="L24" s="8"/>
      <c r="M24" s="8" t="s">
        <v>34</v>
      </c>
      <c r="N24" s="8" t="s">
        <v>115</v>
      </c>
      <c r="O24" s="4">
        <f t="shared" si="0"/>
        <v>26</v>
      </c>
      <c r="P24" s="4">
        <f t="shared" si="1"/>
        <v>27</v>
      </c>
      <c r="Q24">
        <f t="shared" si="2"/>
        <v>1</v>
      </c>
      <c r="R24" t="str">
        <f t="shared" si="3"/>
        <v>&lt;2 seconds</v>
      </c>
      <c r="S24" s="3">
        <f t="shared" si="4"/>
        <v>2</v>
      </c>
      <c r="T24">
        <f t="shared" si="5"/>
        <v>1.5</v>
      </c>
      <c r="U24" s="8"/>
    </row>
    <row r="25" spans="1:21" ht="16" customHeight="1" x14ac:dyDescent="0.2">
      <c r="A25" s="8"/>
      <c r="B25" s="8"/>
      <c r="C25" s="8"/>
      <c r="D25" s="7">
        <v>0.48</v>
      </c>
      <c r="E25" s="7">
        <f>D25</f>
        <v>0.48</v>
      </c>
      <c r="F25" s="13"/>
      <c r="G25" s="13" t="s">
        <v>89</v>
      </c>
      <c r="I25" s="8" t="s">
        <v>45</v>
      </c>
      <c r="J25" s="8" t="s">
        <v>90</v>
      </c>
      <c r="K25" s="8" t="s">
        <v>47</v>
      </c>
      <c r="L25" s="8"/>
      <c r="M25" s="8" t="s">
        <v>27</v>
      </c>
      <c r="N25" s="20" t="s">
        <v>28</v>
      </c>
      <c r="O25" s="4">
        <f t="shared" si="0"/>
        <v>27</v>
      </c>
      <c r="P25" s="4">
        <f t="shared" si="1"/>
        <v>27</v>
      </c>
      <c r="Q25">
        <f t="shared" si="2"/>
        <v>0</v>
      </c>
      <c r="R25" t="str">
        <f t="shared" si="3"/>
        <v>&lt;1 second</v>
      </c>
      <c r="S25" s="3">
        <f t="shared" si="4"/>
        <v>1</v>
      </c>
      <c r="T25">
        <f t="shared" si="5"/>
        <v>0.5</v>
      </c>
      <c r="U25" s="8"/>
    </row>
    <row r="26" spans="1:21" ht="16" customHeight="1" x14ac:dyDescent="0.2">
      <c r="A26" s="8"/>
      <c r="B26" s="8"/>
      <c r="C26" s="8"/>
      <c r="D26" s="7">
        <v>0.48</v>
      </c>
      <c r="E26" s="7">
        <f>D26</f>
        <v>0.48</v>
      </c>
      <c r="F26" s="13"/>
      <c r="G26" s="13" t="s">
        <v>116</v>
      </c>
      <c r="I26" s="8" t="s">
        <v>24</v>
      </c>
      <c r="J26" s="8" t="s">
        <v>117</v>
      </c>
      <c r="K26" s="8" t="s">
        <v>26</v>
      </c>
      <c r="L26" s="8"/>
      <c r="M26" s="8" t="s">
        <v>27</v>
      </c>
      <c r="N26" s="20" t="s">
        <v>51</v>
      </c>
      <c r="O26" s="4">
        <f t="shared" si="0"/>
        <v>27</v>
      </c>
      <c r="P26" s="4">
        <f t="shared" si="1"/>
        <v>27</v>
      </c>
      <c r="Q26">
        <f t="shared" si="2"/>
        <v>0</v>
      </c>
      <c r="R26" t="str">
        <f t="shared" si="3"/>
        <v>&lt;1 second</v>
      </c>
      <c r="S26" s="3">
        <f t="shared" si="4"/>
        <v>1</v>
      </c>
      <c r="T26">
        <f t="shared" si="5"/>
        <v>0.5</v>
      </c>
      <c r="U26" s="8"/>
    </row>
    <row r="27" spans="1:21" ht="16" customHeight="1" x14ac:dyDescent="0.2">
      <c r="A27" s="8"/>
      <c r="B27" s="8"/>
      <c r="C27" s="8"/>
      <c r="D27" s="7">
        <v>0.49</v>
      </c>
      <c r="E27" s="7">
        <v>0.55000000000000004</v>
      </c>
      <c r="F27" s="13"/>
      <c r="G27" s="8" t="s">
        <v>119</v>
      </c>
      <c r="I27" s="8" t="s">
        <v>99</v>
      </c>
      <c r="J27" s="8" t="s">
        <v>99</v>
      </c>
      <c r="K27" s="8" t="s">
        <v>42</v>
      </c>
      <c r="L27" s="8"/>
      <c r="M27" s="8" t="s">
        <v>27</v>
      </c>
      <c r="N27" s="8" t="s">
        <v>99</v>
      </c>
      <c r="O27" s="4">
        <f t="shared" si="0"/>
        <v>28</v>
      </c>
      <c r="P27" s="4">
        <f t="shared" si="1"/>
        <v>34.000000000000007</v>
      </c>
      <c r="Q27">
        <f t="shared" si="2"/>
        <v>6.0000000000000071</v>
      </c>
      <c r="R27" t="str">
        <f t="shared" si="3"/>
        <v>&lt;7 seconds</v>
      </c>
      <c r="S27" s="3">
        <f t="shared" si="4"/>
        <v>7.0000000000000071</v>
      </c>
      <c r="T27">
        <f t="shared" si="5"/>
        <v>6.5000000000000071</v>
      </c>
      <c r="U27" s="8"/>
    </row>
    <row r="28" spans="1:21" ht="16" customHeight="1" x14ac:dyDescent="0.2">
      <c r="A28" s="8"/>
      <c r="B28" s="8"/>
      <c r="C28" s="8"/>
      <c r="D28" s="7">
        <v>0.56000000000000005</v>
      </c>
      <c r="E28" s="7">
        <f>D28</f>
        <v>0.56000000000000005</v>
      </c>
      <c r="F28" s="13"/>
      <c r="G28" s="13" t="s">
        <v>116</v>
      </c>
      <c r="I28" s="8" t="s">
        <v>24</v>
      </c>
      <c r="J28" s="8" t="s">
        <v>117</v>
      </c>
      <c r="K28" s="8" t="s">
        <v>26</v>
      </c>
      <c r="L28" s="8"/>
      <c r="M28" s="8" t="s">
        <v>27</v>
      </c>
      <c r="N28" s="20" t="s">
        <v>51</v>
      </c>
      <c r="O28" s="4">
        <f t="shared" si="0"/>
        <v>35.000000000000007</v>
      </c>
      <c r="P28" s="4">
        <f t="shared" si="1"/>
        <v>35.000000000000007</v>
      </c>
      <c r="Q28">
        <f t="shared" si="2"/>
        <v>0</v>
      </c>
      <c r="R28" t="str">
        <f t="shared" si="3"/>
        <v>&lt;1 second</v>
      </c>
      <c r="S28" s="3">
        <f t="shared" si="4"/>
        <v>1</v>
      </c>
      <c r="T28">
        <f t="shared" si="5"/>
        <v>0.5</v>
      </c>
      <c r="U28" s="8"/>
    </row>
    <row r="29" spans="1:21" ht="16" customHeight="1" x14ac:dyDescent="0.2">
      <c r="A29" s="8"/>
      <c r="B29" s="8"/>
      <c r="C29" s="8"/>
      <c r="D29" s="7">
        <v>0.56000000000000005</v>
      </c>
      <c r="E29" s="7">
        <v>0.57999999999999996</v>
      </c>
      <c r="F29" s="13"/>
      <c r="G29" s="8" t="s">
        <v>119</v>
      </c>
      <c r="I29" s="8" t="s">
        <v>99</v>
      </c>
      <c r="J29" s="8" t="s">
        <v>99</v>
      </c>
      <c r="K29" s="8" t="s">
        <v>42</v>
      </c>
      <c r="L29" s="8"/>
      <c r="M29" s="8" t="s">
        <v>27</v>
      </c>
      <c r="N29" s="8" t="s">
        <v>99</v>
      </c>
      <c r="O29" s="4">
        <f t="shared" si="0"/>
        <v>35.000000000000007</v>
      </c>
      <c r="P29" s="4">
        <f t="shared" si="1"/>
        <v>36.999999999999993</v>
      </c>
      <c r="Q29">
        <f t="shared" si="2"/>
        <v>1.9999999999999858</v>
      </c>
      <c r="R29" t="str">
        <f t="shared" si="3"/>
        <v>&lt;3 seconds</v>
      </c>
      <c r="S29" s="3">
        <f t="shared" si="4"/>
        <v>2.9999999999999858</v>
      </c>
      <c r="T29">
        <f t="shared" si="5"/>
        <v>2.4999999999999858</v>
      </c>
      <c r="U29" s="8"/>
    </row>
    <row r="30" spans="1:21" ht="16" customHeight="1" x14ac:dyDescent="0.2">
      <c r="A30" s="8"/>
      <c r="B30" s="8"/>
      <c r="C30" s="8"/>
      <c r="D30" s="7">
        <v>0.59</v>
      </c>
      <c r="E30" s="5">
        <f>D30</f>
        <v>0.59</v>
      </c>
      <c r="F30" s="13"/>
      <c r="G30" s="4" t="s">
        <v>23</v>
      </c>
      <c r="I30" s="8" t="s">
        <v>24</v>
      </c>
      <c r="J30" s="8" t="s">
        <v>25</v>
      </c>
      <c r="K30" s="8" t="s">
        <v>26</v>
      </c>
      <c r="L30" s="8"/>
      <c r="M30" s="8" t="s">
        <v>27</v>
      </c>
      <c r="N30" s="20" t="s">
        <v>25</v>
      </c>
      <c r="O30" s="4">
        <f t="shared" si="0"/>
        <v>38</v>
      </c>
      <c r="P30" s="4">
        <f t="shared" si="1"/>
        <v>38</v>
      </c>
      <c r="Q30">
        <f t="shared" si="2"/>
        <v>0</v>
      </c>
      <c r="R30" t="str">
        <f t="shared" si="3"/>
        <v>&lt;1 second</v>
      </c>
      <c r="S30" s="3">
        <f t="shared" si="4"/>
        <v>1</v>
      </c>
      <c r="T30">
        <f t="shared" si="5"/>
        <v>0.5</v>
      </c>
      <c r="U30" s="4"/>
    </row>
    <row r="31" spans="1:21" ht="16" customHeight="1" x14ac:dyDescent="0.2">
      <c r="A31" s="8"/>
      <c r="B31" s="8"/>
      <c r="C31" s="8"/>
      <c r="D31" s="7">
        <v>0.59</v>
      </c>
      <c r="E31" s="5">
        <f>D31</f>
        <v>0.59</v>
      </c>
      <c r="F31" s="13"/>
      <c r="G31" s="8" t="s">
        <v>120</v>
      </c>
      <c r="I31" s="8" t="s">
        <v>45</v>
      </c>
      <c r="J31" s="8" t="s">
        <v>46</v>
      </c>
      <c r="K31" s="8" t="s">
        <v>91</v>
      </c>
      <c r="L31" s="8"/>
      <c r="M31" s="8" t="s">
        <v>27</v>
      </c>
      <c r="N31" s="20" t="s">
        <v>28</v>
      </c>
      <c r="O31" s="4">
        <f t="shared" si="0"/>
        <v>38</v>
      </c>
      <c r="P31" s="4">
        <f t="shared" si="1"/>
        <v>38</v>
      </c>
      <c r="Q31">
        <f t="shared" si="2"/>
        <v>0</v>
      </c>
      <c r="R31" t="str">
        <f t="shared" si="3"/>
        <v>&lt;1 second</v>
      </c>
      <c r="S31" s="3">
        <f t="shared" si="4"/>
        <v>1</v>
      </c>
      <c r="T31">
        <f t="shared" si="5"/>
        <v>0.5</v>
      </c>
      <c r="U31" s="8"/>
    </row>
    <row r="32" spans="1:21" ht="16" customHeight="1" x14ac:dyDescent="0.2">
      <c r="A32" s="8"/>
      <c r="B32" s="8"/>
      <c r="C32" s="8"/>
      <c r="D32" s="7">
        <v>1</v>
      </c>
      <c r="E32" s="5">
        <f>D32</f>
        <v>1</v>
      </c>
      <c r="F32" s="13"/>
      <c r="G32" s="13" t="s">
        <v>50</v>
      </c>
      <c r="I32" s="8" t="s">
        <v>24</v>
      </c>
      <c r="J32" s="8" t="s">
        <v>51</v>
      </c>
      <c r="K32" s="8" t="s">
        <v>26</v>
      </c>
      <c r="L32" s="8"/>
      <c r="M32" s="8" t="s">
        <v>27</v>
      </c>
      <c r="N32" s="20" t="s">
        <v>51</v>
      </c>
      <c r="O32" s="4">
        <f t="shared" si="0"/>
        <v>39</v>
      </c>
      <c r="P32" s="4">
        <f t="shared" si="1"/>
        <v>39</v>
      </c>
      <c r="Q32">
        <f t="shared" si="2"/>
        <v>0</v>
      </c>
      <c r="R32" t="str">
        <f t="shared" si="3"/>
        <v>&lt;1 second</v>
      </c>
      <c r="S32" s="3">
        <f t="shared" si="4"/>
        <v>1</v>
      </c>
      <c r="T32">
        <f t="shared" si="5"/>
        <v>0.5</v>
      </c>
      <c r="U32" s="8"/>
    </row>
    <row r="33" spans="1:21" ht="16" customHeight="1" x14ac:dyDescent="0.2">
      <c r="A33" s="8"/>
      <c r="B33" s="8"/>
      <c r="C33" s="8"/>
      <c r="D33" s="7">
        <v>1</v>
      </c>
      <c r="E33" s="5">
        <v>1.01</v>
      </c>
      <c r="F33" s="13"/>
      <c r="G33" s="13" t="s">
        <v>104</v>
      </c>
      <c r="I33" s="8" t="s">
        <v>76</v>
      </c>
      <c r="J33" s="8" t="s">
        <v>85</v>
      </c>
      <c r="K33" s="8" t="s">
        <v>42</v>
      </c>
      <c r="L33" s="8"/>
      <c r="M33" s="8" t="s">
        <v>27</v>
      </c>
      <c r="N33" s="20" t="s">
        <v>76</v>
      </c>
      <c r="O33" s="4">
        <f t="shared" si="0"/>
        <v>39</v>
      </c>
      <c r="P33" s="4">
        <f t="shared" si="1"/>
        <v>40</v>
      </c>
      <c r="Q33">
        <f t="shared" si="2"/>
        <v>1</v>
      </c>
      <c r="R33" t="str">
        <f t="shared" si="3"/>
        <v>&lt;2 seconds</v>
      </c>
      <c r="S33" s="3">
        <f t="shared" si="4"/>
        <v>2</v>
      </c>
      <c r="T33">
        <f t="shared" si="5"/>
        <v>1.5</v>
      </c>
      <c r="U33" s="8"/>
    </row>
    <row r="34" spans="1:21" ht="16" customHeight="1" x14ac:dyDescent="0.2">
      <c r="A34" s="8"/>
      <c r="B34" s="8"/>
      <c r="C34" s="8"/>
      <c r="D34" s="7">
        <v>1.01</v>
      </c>
      <c r="E34" s="5">
        <f>D34</f>
        <v>1.01</v>
      </c>
      <c r="F34" s="13"/>
      <c r="G34" s="8" t="s">
        <v>23</v>
      </c>
      <c r="I34" s="8" t="s">
        <v>24</v>
      </c>
      <c r="J34" s="8" t="s">
        <v>25</v>
      </c>
      <c r="K34" s="8" t="s">
        <v>26</v>
      </c>
      <c r="L34" s="8"/>
      <c r="M34" s="8" t="s">
        <v>27</v>
      </c>
      <c r="N34" s="20" t="s">
        <v>25</v>
      </c>
      <c r="O34" s="4">
        <f t="shared" ref="O34:O52" si="6">(INT(D34)*60+(D34-INT(D34))*100)-(INT($D$2)*60+($D$2-INT($D$2))*100)</f>
        <v>40</v>
      </c>
      <c r="P34" s="4">
        <f t="shared" ref="P34:P52" si="7">(INT(E34)*60+(E34-INT(E34))*100)-(INT($D$2)*60+($D$2-INT($D$2))*100)</f>
        <v>40</v>
      </c>
      <c r="Q34">
        <f t="shared" ref="Q34:Q52" si="8">P34-O34</f>
        <v>0</v>
      </c>
      <c r="R34" t="str">
        <f t="shared" ref="R34:R52" si="9">IF(Q34=0,"&lt;1 second","&lt;"&amp;(ROUND(Q34,2)+1)&amp;" seconds")</f>
        <v>&lt;1 second</v>
      </c>
      <c r="S34" s="3">
        <f t="shared" ref="S34:S52" si="10">Q34+1</f>
        <v>1</v>
      </c>
      <c r="T34">
        <f t="shared" ref="T34:T52" si="11">Q34+0.5</f>
        <v>0.5</v>
      </c>
      <c r="U34" s="8"/>
    </row>
    <row r="35" spans="1:21" ht="16" customHeight="1" x14ac:dyDescent="0.2">
      <c r="A35" s="8"/>
      <c r="B35" s="8"/>
      <c r="C35" s="8"/>
      <c r="D35" s="7">
        <v>1.02</v>
      </c>
      <c r="E35" s="5">
        <f>D35</f>
        <v>1.02</v>
      </c>
      <c r="F35" s="20" t="s">
        <v>121</v>
      </c>
      <c r="G35" s="13" t="s">
        <v>31</v>
      </c>
      <c r="I35" s="8" t="s">
        <v>32</v>
      </c>
      <c r="J35" s="8" t="s">
        <v>32</v>
      </c>
      <c r="K35" s="8" t="s">
        <v>26</v>
      </c>
      <c r="L35" s="8"/>
      <c r="M35" s="8" t="s">
        <v>34</v>
      </c>
      <c r="N35" s="20" t="s">
        <v>121</v>
      </c>
      <c r="O35" s="4">
        <f t="shared" si="6"/>
        <v>41</v>
      </c>
      <c r="P35" s="4">
        <f t="shared" si="7"/>
        <v>41</v>
      </c>
      <c r="Q35">
        <f t="shared" si="8"/>
        <v>0</v>
      </c>
      <c r="R35" t="str">
        <f t="shared" si="9"/>
        <v>&lt;1 second</v>
      </c>
      <c r="S35" s="3">
        <f t="shared" si="10"/>
        <v>1</v>
      </c>
      <c r="T35">
        <f t="shared" si="11"/>
        <v>0.5</v>
      </c>
      <c r="U35" s="8" t="s">
        <v>122</v>
      </c>
    </row>
    <row r="36" spans="1:21" ht="16" customHeight="1" x14ac:dyDescent="0.2">
      <c r="A36" s="8"/>
      <c r="B36" s="8"/>
      <c r="C36" s="8"/>
      <c r="D36" s="7">
        <v>1.02</v>
      </c>
      <c r="E36" s="5">
        <f>D36</f>
        <v>1.02</v>
      </c>
      <c r="F36" s="13"/>
      <c r="G36" s="13" t="s">
        <v>31</v>
      </c>
      <c r="I36" s="8" t="s">
        <v>32</v>
      </c>
      <c r="J36" s="8" t="s">
        <v>33</v>
      </c>
      <c r="K36" s="8" t="s">
        <v>26</v>
      </c>
      <c r="L36" s="8"/>
      <c r="M36" s="8" t="s">
        <v>34</v>
      </c>
      <c r="N36" s="8" t="s">
        <v>123</v>
      </c>
      <c r="O36" s="4">
        <f t="shared" si="6"/>
        <v>41</v>
      </c>
      <c r="P36" s="4">
        <f t="shared" si="7"/>
        <v>41</v>
      </c>
      <c r="Q36">
        <f t="shared" si="8"/>
        <v>0</v>
      </c>
      <c r="R36" t="str">
        <f t="shared" si="9"/>
        <v>&lt;1 second</v>
      </c>
      <c r="S36" s="3">
        <f t="shared" si="10"/>
        <v>1</v>
      </c>
      <c r="T36">
        <f t="shared" si="11"/>
        <v>0.5</v>
      </c>
      <c r="U36" s="8"/>
    </row>
    <row r="37" spans="1:21" ht="16" customHeight="1" x14ac:dyDescent="0.2">
      <c r="A37" s="8"/>
      <c r="B37" s="8"/>
      <c r="C37" s="8"/>
      <c r="D37" s="7">
        <v>1.02</v>
      </c>
      <c r="E37" s="5">
        <v>1.03</v>
      </c>
      <c r="F37" s="13"/>
      <c r="G37" s="8" t="s">
        <v>120</v>
      </c>
      <c r="I37" s="8" t="s">
        <v>45</v>
      </c>
      <c r="J37" s="8" t="s">
        <v>46</v>
      </c>
      <c r="K37" s="8" t="s">
        <v>91</v>
      </c>
      <c r="L37" s="8"/>
      <c r="M37" s="8" t="s">
        <v>27</v>
      </c>
      <c r="N37" s="20" t="s">
        <v>28</v>
      </c>
      <c r="O37" s="4">
        <f t="shared" si="6"/>
        <v>41</v>
      </c>
      <c r="P37" s="4">
        <f t="shared" si="7"/>
        <v>42</v>
      </c>
      <c r="Q37">
        <f t="shared" si="8"/>
        <v>1</v>
      </c>
      <c r="R37" t="str">
        <f t="shared" si="9"/>
        <v>&lt;2 seconds</v>
      </c>
      <c r="S37" s="3">
        <f t="shared" si="10"/>
        <v>2</v>
      </c>
      <c r="T37">
        <f t="shared" si="11"/>
        <v>1.5</v>
      </c>
      <c r="U37" s="8"/>
    </row>
    <row r="38" spans="1:21" ht="16" customHeight="1" x14ac:dyDescent="0.2">
      <c r="A38" s="8"/>
      <c r="B38" s="8"/>
      <c r="C38" s="8"/>
      <c r="D38" s="7">
        <v>1.03</v>
      </c>
      <c r="E38" s="5">
        <f>D38</f>
        <v>1.03</v>
      </c>
      <c r="F38" s="13"/>
      <c r="G38" t="s">
        <v>55</v>
      </c>
      <c r="I38" s="8" t="s">
        <v>56</v>
      </c>
      <c r="J38" s="8" t="s">
        <v>38</v>
      </c>
      <c r="K38" s="8" t="s">
        <v>26</v>
      </c>
      <c r="L38" s="8"/>
      <c r="M38" s="8" t="s">
        <v>27</v>
      </c>
      <c r="N38" s="8" t="s">
        <v>124</v>
      </c>
      <c r="O38" s="4">
        <f t="shared" si="6"/>
        <v>42</v>
      </c>
      <c r="P38" s="4">
        <f t="shared" si="7"/>
        <v>42</v>
      </c>
      <c r="Q38">
        <f t="shared" si="8"/>
        <v>0</v>
      </c>
      <c r="R38" t="str">
        <f t="shared" si="9"/>
        <v>&lt;1 second</v>
      </c>
      <c r="S38" s="3">
        <f t="shared" si="10"/>
        <v>1</v>
      </c>
      <c r="T38">
        <f t="shared" si="11"/>
        <v>0.5</v>
      </c>
      <c r="U38" s="8"/>
    </row>
    <row r="39" spans="1:21" ht="16" customHeight="1" x14ac:dyDescent="0.2">
      <c r="A39" s="8"/>
      <c r="B39" s="8"/>
      <c r="C39" s="8"/>
      <c r="D39" s="7">
        <v>1.03</v>
      </c>
      <c r="E39" s="5">
        <v>1.05</v>
      </c>
      <c r="F39" s="13"/>
      <c r="G39" s="13" t="s">
        <v>31</v>
      </c>
      <c r="I39" s="8" t="s">
        <v>82</v>
      </c>
      <c r="J39" s="8" t="s">
        <v>125</v>
      </c>
      <c r="K39" s="8" t="s">
        <v>26</v>
      </c>
      <c r="L39" s="8"/>
      <c r="M39" s="8" t="s">
        <v>34</v>
      </c>
      <c r="N39" s="8" t="s">
        <v>126</v>
      </c>
      <c r="O39" s="4">
        <f t="shared" si="6"/>
        <v>42</v>
      </c>
      <c r="P39" s="4">
        <f t="shared" si="7"/>
        <v>44</v>
      </c>
      <c r="Q39">
        <f t="shared" si="8"/>
        <v>2</v>
      </c>
      <c r="R39" t="str">
        <f t="shared" si="9"/>
        <v>&lt;3 seconds</v>
      </c>
      <c r="S39" s="3">
        <f t="shared" si="10"/>
        <v>3</v>
      </c>
      <c r="T39">
        <f t="shared" si="11"/>
        <v>2.5</v>
      </c>
      <c r="U39" s="8"/>
    </row>
    <row r="40" spans="1:21" ht="16" customHeight="1" x14ac:dyDescent="0.2">
      <c r="A40" s="8"/>
      <c r="B40" s="8"/>
      <c r="C40" s="8"/>
      <c r="D40" s="7">
        <v>1.06</v>
      </c>
      <c r="E40" s="5">
        <v>1.08</v>
      </c>
      <c r="F40" s="13"/>
      <c r="G40" s="13" t="s">
        <v>31</v>
      </c>
      <c r="I40" s="8" t="s">
        <v>53</v>
      </c>
      <c r="J40" s="8" t="s">
        <v>53</v>
      </c>
      <c r="K40" s="8" t="s">
        <v>26</v>
      </c>
      <c r="L40" s="8"/>
      <c r="M40" s="8" t="s">
        <v>34</v>
      </c>
      <c r="N40" s="8" t="s">
        <v>127</v>
      </c>
      <c r="O40" s="4">
        <f t="shared" si="6"/>
        <v>45</v>
      </c>
      <c r="P40" s="4">
        <f t="shared" si="7"/>
        <v>47</v>
      </c>
      <c r="Q40">
        <f t="shared" si="8"/>
        <v>2</v>
      </c>
      <c r="R40" t="str">
        <f t="shared" si="9"/>
        <v>&lt;3 seconds</v>
      </c>
      <c r="S40" s="3">
        <f t="shared" si="10"/>
        <v>3</v>
      </c>
      <c r="T40">
        <f t="shared" si="11"/>
        <v>2.5</v>
      </c>
      <c r="U40" s="8"/>
    </row>
    <row r="41" spans="1:21" ht="16" customHeight="1" x14ac:dyDescent="0.2">
      <c r="A41" s="8"/>
      <c r="B41" s="8"/>
      <c r="C41" s="8"/>
      <c r="D41" s="7">
        <v>1.08</v>
      </c>
      <c r="E41" s="5">
        <v>1.0900000000000001</v>
      </c>
      <c r="F41" s="13"/>
      <c r="G41" s="16" t="s">
        <v>84</v>
      </c>
      <c r="I41" s="8" t="s">
        <v>76</v>
      </c>
      <c r="J41" s="8" t="s">
        <v>85</v>
      </c>
      <c r="K41" s="8" t="s">
        <v>26</v>
      </c>
      <c r="L41" s="8"/>
      <c r="M41" s="8" t="s">
        <v>27</v>
      </c>
      <c r="N41" s="20" t="s">
        <v>76</v>
      </c>
      <c r="O41" s="4">
        <f t="shared" si="6"/>
        <v>47</v>
      </c>
      <c r="P41" s="4">
        <f t="shared" si="7"/>
        <v>48</v>
      </c>
      <c r="Q41">
        <f t="shared" si="8"/>
        <v>1</v>
      </c>
      <c r="R41" t="str">
        <f t="shared" si="9"/>
        <v>&lt;2 seconds</v>
      </c>
      <c r="S41" s="3">
        <f t="shared" si="10"/>
        <v>2</v>
      </c>
      <c r="T41">
        <f t="shared" si="11"/>
        <v>1.5</v>
      </c>
      <c r="U41" s="8"/>
    </row>
    <row r="42" spans="1:21" ht="16" customHeight="1" x14ac:dyDescent="0.2">
      <c r="A42" s="8"/>
      <c r="B42" s="8"/>
      <c r="C42" s="8"/>
      <c r="D42" s="7">
        <v>1.0900000000000001</v>
      </c>
      <c r="E42" s="5">
        <f>D42</f>
        <v>1.0900000000000001</v>
      </c>
      <c r="F42" s="13"/>
      <c r="G42" s="13" t="s">
        <v>108</v>
      </c>
      <c r="I42" s="8" t="s">
        <v>24</v>
      </c>
      <c r="J42" s="8" t="s">
        <v>71</v>
      </c>
      <c r="K42" s="8" t="s">
        <v>26</v>
      </c>
      <c r="L42" s="8"/>
      <c r="M42" s="8" t="s">
        <v>27</v>
      </c>
      <c r="N42" s="20" t="s">
        <v>71</v>
      </c>
      <c r="O42" s="4">
        <f t="shared" si="6"/>
        <v>48</v>
      </c>
      <c r="P42" s="4">
        <f t="shared" si="7"/>
        <v>48</v>
      </c>
      <c r="Q42">
        <f t="shared" si="8"/>
        <v>0</v>
      </c>
      <c r="R42" t="str">
        <f t="shared" si="9"/>
        <v>&lt;1 second</v>
      </c>
      <c r="S42" s="3">
        <f t="shared" si="10"/>
        <v>1</v>
      </c>
      <c r="T42">
        <f t="shared" si="11"/>
        <v>0.5</v>
      </c>
      <c r="U42" s="8"/>
    </row>
    <row r="43" spans="1:21" ht="16" customHeight="1" x14ac:dyDescent="0.2">
      <c r="A43" s="8"/>
      <c r="B43" s="8"/>
      <c r="C43" s="8"/>
      <c r="D43" s="7">
        <v>1.1000000000000001</v>
      </c>
      <c r="E43" s="5">
        <f>D43</f>
        <v>1.1000000000000001</v>
      </c>
      <c r="F43" s="13"/>
      <c r="G43" s="8" t="s">
        <v>109</v>
      </c>
      <c r="I43" s="8" t="s">
        <v>80</v>
      </c>
      <c r="J43" s="8" t="s">
        <v>110</v>
      </c>
      <c r="K43" s="8" t="s">
        <v>42</v>
      </c>
      <c r="L43" s="8"/>
      <c r="M43" s="8" t="s">
        <v>27</v>
      </c>
      <c r="N43" s="20" t="s">
        <v>111</v>
      </c>
      <c r="O43" s="4">
        <f t="shared" si="6"/>
        <v>49.000000000000014</v>
      </c>
      <c r="P43" s="4">
        <f t="shared" si="7"/>
        <v>49.000000000000014</v>
      </c>
      <c r="Q43">
        <f t="shared" si="8"/>
        <v>0</v>
      </c>
      <c r="R43" t="str">
        <f t="shared" si="9"/>
        <v>&lt;1 second</v>
      </c>
      <c r="S43" s="3">
        <f t="shared" si="10"/>
        <v>1</v>
      </c>
      <c r="T43">
        <f t="shared" si="11"/>
        <v>0.5</v>
      </c>
      <c r="U43" s="8"/>
    </row>
    <row r="44" spans="1:21" ht="16" customHeight="1" x14ac:dyDescent="0.2">
      <c r="A44" s="8"/>
      <c r="B44" s="8"/>
      <c r="C44" s="8"/>
      <c r="D44" s="7">
        <v>1.1000000000000001</v>
      </c>
      <c r="E44" s="5">
        <v>1.1100000000000001</v>
      </c>
      <c r="F44" s="13"/>
      <c r="G44" s="13" t="s">
        <v>31</v>
      </c>
      <c r="I44" s="8" t="s">
        <v>80</v>
      </c>
      <c r="J44" s="8" t="s">
        <v>110</v>
      </c>
      <c r="K44" s="8" t="s">
        <v>102</v>
      </c>
      <c r="L44" s="8"/>
      <c r="M44" s="8" t="s">
        <v>34</v>
      </c>
      <c r="N44" s="8" t="s">
        <v>128</v>
      </c>
      <c r="O44" s="4">
        <f t="shared" si="6"/>
        <v>49.000000000000014</v>
      </c>
      <c r="P44" s="4">
        <f t="shared" si="7"/>
        <v>50.000000000000014</v>
      </c>
      <c r="Q44">
        <f t="shared" si="8"/>
        <v>1</v>
      </c>
      <c r="R44" t="str">
        <f t="shared" si="9"/>
        <v>&lt;2 seconds</v>
      </c>
      <c r="S44" s="3">
        <f t="shared" si="10"/>
        <v>2</v>
      </c>
      <c r="T44">
        <f t="shared" si="11"/>
        <v>1.5</v>
      </c>
      <c r="U44" s="8"/>
    </row>
    <row r="45" spans="1:21" ht="16" customHeight="1" x14ac:dyDescent="0.2">
      <c r="A45" s="8"/>
      <c r="B45" s="8"/>
      <c r="C45" s="8"/>
      <c r="D45" s="7">
        <v>1.1100000000000001</v>
      </c>
      <c r="E45" s="5">
        <f>D45</f>
        <v>1.1100000000000001</v>
      </c>
      <c r="F45" s="13"/>
      <c r="G45" s="8" t="s">
        <v>23</v>
      </c>
      <c r="I45" s="8" t="s">
        <v>24</v>
      </c>
      <c r="J45" s="8" t="s">
        <v>25</v>
      </c>
      <c r="K45" s="8" t="s">
        <v>26</v>
      </c>
      <c r="L45" s="8"/>
      <c r="M45" s="8" t="s">
        <v>27</v>
      </c>
      <c r="N45" s="20" t="s">
        <v>25</v>
      </c>
      <c r="O45" s="4">
        <f t="shared" si="6"/>
        <v>50.000000000000014</v>
      </c>
      <c r="P45" s="4">
        <f t="shared" si="7"/>
        <v>50.000000000000014</v>
      </c>
      <c r="Q45">
        <f t="shared" si="8"/>
        <v>0</v>
      </c>
      <c r="R45" t="str">
        <f t="shared" si="9"/>
        <v>&lt;1 second</v>
      </c>
      <c r="S45" s="3">
        <f t="shared" si="10"/>
        <v>1</v>
      </c>
      <c r="T45">
        <f t="shared" si="11"/>
        <v>0.5</v>
      </c>
      <c r="U45" s="8"/>
    </row>
    <row r="46" spans="1:21" ht="16" customHeight="1" x14ac:dyDescent="0.2">
      <c r="A46" s="8"/>
      <c r="B46" s="8"/>
      <c r="C46" s="8"/>
      <c r="D46" s="7">
        <v>1.1100000000000001</v>
      </c>
      <c r="E46" s="5">
        <f>D46</f>
        <v>1.1100000000000001</v>
      </c>
      <c r="F46" s="13"/>
      <c r="G46" s="13" t="s">
        <v>50</v>
      </c>
      <c r="I46" s="8" t="s">
        <v>24</v>
      </c>
      <c r="J46" s="8" t="s">
        <v>51</v>
      </c>
      <c r="K46" s="8" t="s">
        <v>26</v>
      </c>
      <c r="L46" s="8"/>
      <c r="M46" s="8" t="s">
        <v>27</v>
      </c>
      <c r="N46" s="20" t="s">
        <v>51</v>
      </c>
      <c r="O46" s="4">
        <f t="shared" si="6"/>
        <v>50.000000000000014</v>
      </c>
      <c r="P46" s="4">
        <f t="shared" si="7"/>
        <v>50.000000000000014</v>
      </c>
      <c r="Q46">
        <f t="shared" si="8"/>
        <v>0</v>
      </c>
      <c r="R46" t="str">
        <f t="shared" si="9"/>
        <v>&lt;1 second</v>
      </c>
      <c r="S46" s="3">
        <f t="shared" si="10"/>
        <v>1</v>
      </c>
      <c r="T46">
        <f t="shared" si="11"/>
        <v>0.5</v>
      </c>
      <c r="U46" s="8"/>
    </row>
    <row r="47" spans="1:21" ht="16" customHeight="1" x14ac:dyDescent="0.2">
      <c r="A47" s="8"/>
      <c r="B47" s="8"/>
      <c r="C47" s="8"/>
      <c r="D47" s="7">
        <v>1.1299999999999999</v>
      </c>
      <c r="E47" s="5">
        <v>1.1399999999999999</v>
      </c>
      <c r="F47" s="13"/>
      <c r="G47" s="13" t="s">
        <v>31</v>
      </c>
      <c r="I47" s="8" t="s">
        <v>82</v>
      </c>
      <c r="J47" s="8" t="s">
        <v>125</v>
      </c>
      <c r="K47" s="8" t="s">
        <v>26</v>
      </c>
      <c r="L47" s="8"/>
      <c r="M47" s="8" t="s">
        <v>34</v>
      </c>
      <c r="N47" s="8" t="s">
        <v>126</v>
      </c>
      <c r="O47" s="4">
        <f t="shared" si="6"/>
        <v>51.999999999999986</v>
      </c>
      <c r="P47" s="4">
        <f t="shared" si="7"/>
        <v>52.999999999999986</v>
      </c>
      <c r="Q47">
        <f t="shared" si="8"/>
        <v>1</v>
      </c>
      <c r="R47" t="str">
        <f t="shared" si="9"/>
        <v>&lt;2 seconds</v>
      </c>
      <c r="S47" s="3">
        <f t="shared" si="10"/>
        <v>2</v>
      </c>
      <c r="T47">
        <f t="shared" si="11"/>
        <v>1.5</v>
      </c>
      <c r="U47" s="8"/>
    </row>
    <row r="48" spans="1:21" ht="16" customHeight="1" x14ac:dyDescent="0.2">
      <c r="A48" s="8"/>
      <c r="B48" s="8"/>
      <c r="C48" s="8"/>
      <c r="D48" s="7">
        <v>1.1499999999999999</v>
      </c>
      <c r="E48" s="5">
        <f>D48</f>
        <v>1.1499999999999999</v>
      </c>
      <c r="F48" s="13"/>
      <c r="G48" s="13" t="s">
        <v>116</v>
      </c>
      <c r="I48" s="8" t="s">
        <v>24</v>
      </c>
      <c r="J48" s="8" t="s">
        <v>117</v>
      </c>
      <c r="K48" s="8" t="s">
        <v>26</v>
      </c>
      <c r="L48" s="8"/>
      <c r="M48" s="8" t="s">
        <v>27</v>
      </c>
      <c r="N48" s="20" t="s">
        <v>51</v>
      </c>
      <c r="O48" s="4">
        <f t="shared" si="6"/>
        <v>53.999999999999986</v>
      </c>
      <c r="P48" s="4">
        <f t="shared" si="7"/>
        <v>53.999999999999986</v>
      </c>
      <c r="Q48">
        <f t="shared" si="8"/>
        <v>0</v>
      </c>
      <c r="R48" t="str">
        <f t="shared" si="9"/>
        <v>&lt;1 second</v>
      </c>
      <c r="S48" s="3">
        <f t="shared" si="10"/>
        <v>1</v>
      </c>
      <c r="T48">
        <f t="shared" si="11"/>
        <v>0.5</v>
      </c>
      <c r="U48" s="8"/>
    </row>
    <row r="49" spans="1:21" ht="16" customHeight="1" x14ac:dyDescent="0.2">
      <c r="A49" s="8"/>
      <c r="B49" s="8"/>
      <c r="C49" s="8"/>
      <c r="D49" s="7">
        <v>1.1499999999999999</v>
      </c>
      <c r="E49" s="5">
        <v>1.18</v>
      </c>
      <c r="F49" s="13"/>
      <c r="G49" s="13" t="s">
        <v>31</v>
      </c>
      <c r="I49" s="8" t="s">
        <v>53</v>
      </c>
      <c r="J49" s="8" t="s">
        <v>53</v>
      </c>
      <c r="K49" s="8" t="s">
        <v>102</v>
      </c>
      <c r="L49" s="8"/>
      <c r="M49" s="8" t="s">
        <v>34</v>
      </c>
      <c r="N49" s="8" t="s">
        <v>129</v>
      </c>
      <c r="O49" s="4">
        <f t="shared" si="6"/>
        <v>53.999999999999986</v>
      </c>
      <c r="P49" s="4">
        <f t="shared" si="7"/>
        <v>57</v>
      </c>
      <c r="Q49">
        <f t="shared" si="8"/>
        <v>3.0000000000000142</v>
      </c>
      <c r="R49" t="str">
        <f t="shared" si="9"/>
        <v>&lt;4 seconds</v>
      </c>
      <c r="S49" s="3">
        <f t="shared" si="10"/>
        <v>4.0000000000000142</v>
      </c>
      <c r="T49">
        <f t="shared" si="11"/>
        <v>3.5000000000000142</v>
      </c>
      <c r="U49" s="8" t="s">
        <v>130</v>
      </c>
    </row>
    <row r="50" spans="1:21" ht="16" customHeight="1" x14ac:dyDescent="0.2">
      <c r="A50" s="8"/>
      <c r="B50" s="8"/>
      <c r="C50" s="8"/>
      <c r="D50" s="7">
        <v>1.19</v>
      </c>
      <c r="E50" s="5">
        <v>1.2</v>
      </c>
      <c r="F50" s="13"/>
      <c r="G50" s="8" t="s">
        <v>120</v>
      </c>
      <c r="I50" s="8" t="s">
        <v>45</v>
      </c>
      <c r="J50" s="8" t="s">
        <v>46</v>
      </c>
      <c r="K50" s="8" t="s">
        <v>91</v>
      </c>
      <c r="L50" s="8"/>
      <c r="M50" s="8" t="s">
        <v>27</v>
      </c>
      <c r="N50" s="21" t="s">
        <v>28</v>
      </c>
      <c r="O50" s="4">
        <f t="shared" si="6"/>
        <v>58</v>
      </c>
      <c r="P50" s="4">
        <f t="shared" si="7"/>
        <v>59</v>
      </c>
      <c r="Q50">
        <f t="shared" si="8"/>
        <v>1</v>
      </c>
      <c r="R50" t="str">
        <f t="shared" si="9"/>
        <v>&lt;2 seconds</v>
      </c>
      <c r="S50" s="3">
        <f t="shared" si="10"/>
        <v>2</v>
      </c>
      <c r="T50">
        <f t="shared" si="11"/>
        <v>1.5</v>
      </c>
      <c r="U50" s="8"/>
    </row>
    <row r="51" spans="1:21" ht="16" customHeight="1" x14ac:dyDescent="0.2">
      <c r="A51" s="8"/>
      <c r="B51" s="8"/>
      <c r="C51" s="8"/>
      <c r="D51" s="7">
        <v>1.2</v>
      </c>
      <c r="E51" s="5">
        <f>D51</f>
        <v>1.2</v>
      </c>
      <c r="F51" s="13"/>
      <c r="G51" s="13" t="s">
        <v>31</v>
      </c>
      <c r="I51" s="8" t="s">
        <v>32</v>
      </c>
      <c r="J51" s="8" t="s">
        <v>33</v>
      </c>
      <c r="K51" s="8" t="s">
        <v>26</v>
      </c>
      <c r="L51" s="8"/>
      <c r="M51" s="8" t="s">
        <v>34</v>
      </c>
      <c r="N51" s="8" t="s">
        <v>123</v>
      </c>
      <c r="O51" s="4">
        <f t="shared" si="6"/>
        <v>59</v>
      </c>
      <c r="P51" s="4">
        <f t="shared" si="7"/>
        <v>59</v>
      </c>
      <c r="Q51">
        <f t="shared" si="8"/>
        <v>0</v>
      </c>
      <c r="R51" t="str">
        <f t="shared" si="9"/>
        <v>&lt;1 second</v>
      </c>
      <c r="S51" s="3">
        <f t="shared" si="10"/>
        <v>1</v>
      </c>
      <c r="T51">
        <f t="shared" si="11"/>
        <v>0.5</v>
      </c>
      <c r="U51" s="8"/>
    </row>
    <row r="52" spans="1:21" ht="16" customHeight="1" x14ac:dyDescent="0.2">
      <c r="D52" s="3">
        <v>1.21</v>
      </c>
      <c r="E52" s="5">
        <f>D52</f>
        <v>1.21</v>
      </c>
      <c r="F52" s="13"/>
      <c r="G52" s="13" t="s">
        <v>55</v>
      </c>
      <c r="I52" s="8" t="s">
        <v>56</v>
      </c>
      <c r="J52" s="8" t="s">
        <v>38</v>
      </c>
      <c r="K52" t="s">
        <v>26</v>
      </c>
      <c r="M52" t="s">
        <v>27</v>
      </c>
      <c r="N52" s="8" t="s">
        <v>124</v>
      </c>
      <c r="O52" s="4">
        <f t="shared" si="6"/>
        <v>60</v>
      </c>
      <c r="P52" s="4">
        <f t="shared" si="7"/>
        <v>60</v>
      </c>
      <c r="Q52">
        <f t="shared" si="8"/>
        <v>0</v>
      </c>
      <c r="R52" t="str">
        <f t="shared" si="9"/>
        <v>&lt;1 second</v>
      </c>
      <c r="S52" s="3">
        <f t="shared" si="10"/>
        <v>1</v>
      </c>
      <c r="T52">
        <f t="shared" si="11"/>
        <v>0.5</v>
      </c>
      <c r="U52" s="8"/>
    </row>
    <row r="53" spans="1:21" ht="16" customHeight="1" x14ac:dyDescent="0.2">
      <c r="E53" s="5"/>
      <c r="O53" s="4"/>
      <c r="P53" s="4"/>
    </row>
    <row r="54" spans="1:21" ht="16" customHeight="1" x14ac:dyDescent="0.2">
      <c r="E54" s="5"/>
      <c r="O54" s="4"/>
      <c r="P54" s="4"/>
    </row>
    <row r="55" spans="1:21" ht="16" customHeight="1" x14ac:dyDescent="0.2">
      <c r="E55" s="5"/>
      <c r="O55" s="4"/>
      <c r="P55" s="4"/>
    </row>
    <row r="56" spans="1:21" ht="16" customHeight="1" x14ac:dyDescent="0.2">
      <c r="E56" s="5"/>
      <c r="O56" s="4"/>
      <c r="P56" s="4"/>
    </row>
    <row r="57" spans="1:21" ht="16" customHeight="1" x14ac:dyDescent="0.2">
      <c r="E57" s="5"/>
      <c r="O57" s="4"/>
      <c r="P57" s="4"/>
    </row>
    <row r="58" spans="1:21" ht="16" customHeight="1" x14ac:dyDescent="0.2">
      <c r="E58" s="5"/>
      <c r="O58" s="4"/>
      <c r="P58" s="4"/>
    </row>
    <row r="59" spans="1:21" ht="16" customHeight="1" x14ac:dyDescent="0.2">
      <c r="E59" s="5"/>
      <c r="O59" s="4"/>
      <c r="P59" s="4"/>
    </row>
    <row r="60" spans="1:21" ht="16" customHeight="1" x14ac:dyDescent="0.2">
      <c r="E60" s="5"/>
      <c r="O60" s="4"/>
      <c r="P60" s="4"/>
    </row>
    <row r="61" spans="1:21" ht="16" customHeight="1" x14ac:dyDescent="0.2">
      <c r="E61" s="5"/>
      <c r="O61" s="4"/>
      <c r="P61" s="4"/>
    </row>
    <row r="62" spans="1:21" ht="16" customHeight="1" x14ac:dyDescent="0.2">
      <c r="E62" s="5"/>
      <c r="O62" s="4"/>
      <c r="P62" s="4"/>
    </row>
    <row r="63" spans="1:21" ht="16" customHeight="1" x14ac:dyDescent="0.2">
      <c r="E63" s="5"/>
      <c r="O63" s="4"/>
      <c r="P63" s="4"/>
    </row>
    <row r="64" spans="1:21" ht="16" customHeight="1" x14ac:dyDescent="0.2">
      <c r="E64" s="5"/>
      <c r="O64" s="4"/>
      <c r="P64" s="4"/>
    </row>
    <row r="65" spans="5:16" ht="16" customHeight="1" x14ac:dyDescent="0.2">
      <c r="E65" s="5"/>
      <c r="O65" s="4"/>
      <c r="P65" s="4"/>
    </row>
    <row r="66" spans="5:16" ht="16" customHeight="1" x14ac:dyDescent="0.2">
      <c r="E66" s="5"/>
      <c r="O66" s="4"/>
      <c r="P66" s="4"/>
    </row>
    <row r="67" spans="5:16" ht="16" customHeight="1" x14ac:dyDescent="0.2">
      <c r="E67" s="5"/>
      <c r="O67" s="4"/>
      <c r="P67" s="4"/>
    </row>
    <row r="68" spans="5:16" ht="16" customHeight="1" x14ac:dyDescent="0.2">
      <c r="E68" s="5"/>
      <c r="O68" s="4"/>
      <c r="P68" s="4"/>
    </row>
    <row r="69" spans="5:16" ht="16" customHeight="1" x14ac:dyDescent="0.2">
      <c r="E69" s="5"/>
      <c r="O69" s="4"/>
      <c r="P69" s="4"/>
    </row>
    <row r="70" spans="5:16" ht="16" customHeight="1" x14ac:dyDescent="0.2">
      <c r="E70" s="5"/>
      <c r="O70" s="4"/>
      <c r="P70" s="4"/>
    </row>
    <row r="71" spans="5:16" ht="16" customHeight="1" x14ac:dyDescent="0.2">
      <c r="E71" s="5"/>
      <c r="O71" s="4"/>
      <c r="P71" s="4"/>
    </row>
    <row r="72" spans="5:16" ht="16" customHeight="1" x14ac:dyDescent="0.2">
      <c r="E72" s="5"/>
      <c r="O72" s="4"/>
      <c r="P72" s="4"/>
    </row>
    <row r="73" spans="5:16" ht="16" customHeight="1" x14ac:dyDescent="0.2">
      <c r="E73" s="5"/>
      <c r="O73" s="4"/>
      <c r="P73" s="4"/>
    </row>
    <row r="74" spans="5:16" ht="16" customHeight="1" x14ac:dyDescent="0.2">
      <c r="E74" s="5"/>
      <c r="O74" s="4"/>
      <c r="P74" s="4"/>
    </row>
    <row r="75" spans="5:16" ht="16" customHeight="1" x14ac:dyDescent="0.2">
      <c r="E75" s="5"/>
      <c r="O75" s="4"/>
      <c r="P75" s="4"/>
    </row>
    <row r="76" spans="5:16" ht="16" customHeight="1" x14ac:dyDescent="0.2">
      <c r="E76" s="5"/>
      <c r="O76" s="4"/>
      <c r="P76" s="4"/>
    </row>
    <row r="77" spans="5:16" ht="16" customHeight="1" x14ac:dyDescent="0.2">
      <c r="E77" s="5"/>
      <c r="O77" s="4"/>
      <c r="P77" s="4"/>
    </row>
    <row r="78" spans="5:16" ht="16" customHeight="1" x14ac:dyDescent="0.2">
      <c r="E78" s="5"/>
      <c r="O78" s="4"/>
      <c r="P78" s="4"/>
    </row>
    <row r="79" spans="5:16" ht="16" customHeight="1" x14ac:dyDescent="0.2">
      <c r="E79" s="5"/>
      <c r="O79" s="4"/>
      <c r="P79" s="4"/>
    </row>
    <row r="80" spans="5:16" ht="16" customHeight="1" x14ac:dyDescent="0.2">
      <c r="E80" s="5"/>
      <c r="O80" s="4"/>
      <c r="P80" s="4"/>
    </row>
    <row r="81" spans="5:16" ht="16" customHeight="1" x14ac:dyDescent="0.2">
      <c r="E81" s="5"/>
      <c r="O81" s="4"/>
      <c r="P81" s="4"/>
    </row>
    <row r="82" spans="5:16" ht="16" customHeight="1" x14ac:dyDescent="0.2">
      <c r="E82" s="5"/>
      <c r="O82" s="4"/>
      <c r="P82" s="4"/>
    </row>
    <row r="83" spans="5:16" ht="16" customHeight="1" x14ac:dyDescent="0.2">
      <c r="E83" s="5"/>
      <c r="O83" s="4"/>
      <c r="P83" s="4"/>
    </row>
    <row r="84" spans="5:16" ht="16" customHeight="1" x14ac:dyDescent="0.2">
      <c r="E84" s="5"/>
      <c r="O84" s="4"/>
      <c r="P84" s="4"/>
    </row>
    <row r="85" spans="5:16" ht="16" customHeight="1" x14ac:dyDescent="0.2">
      <c r="E85" s="5"/>
      <c r="O85" s="4"/>
      <c r="P85" s="4"/>
    </row>
    <row r="86" spans="5:16" ht="16" customHeight="1" x14ac:dyDescent="0.2">
      <c r="E86" s="5"/>
      <c r="O86" s="4"/>
      <c r="P86" s="4"/>
    </row>
    <row r="87" spans="5:16" ht="16" customHeight="1" x14ac:dyDescent="0.2">
      <c r="E87" s="5"/>
      <c r="O87" s="4"/>
      <c r="P87" s="4"/>
    </row>
    <row r="88" spans="5:16" ht="16" customHeight="1" x14ac:dyDescent="0.2">
      <c r="E88" s="5"/>
      <c r="O88" s="4"/>
      <c r="P88" s="4"/>
    </row>
    <row r="89" spans="5:16" ht="16" customHeight="1" x14ac:dyDescent="0.2">
      <c r="E89" s="5"/>
      <c r="O89" s="4"/>
      <c r="P89" s="4"/>
    </row>
    <row r="90" spans="5:16" ht="16" customHeight="1" x14ac:dyDescent="0.2">
      <c r="E90" s="5"/>
      <c r="O90" s="4"/>
      <c r="P90" s="4"/>
    </row>
    <row r="91" spans="5:16" ht="16" customHeight="1" x14ac:dyDescent="0.2">
      <c r="E91" s="5"/>
      <c r="O91" s="4"/>
      <c r="P91" s="4"/>
    </row>
    <row r="92" spans="5:16" ht="16" customHeight="1" x14ac:dyDescent="0.2">
      <c r="E92" s="5"/>
      <c r="O92" s="4"/>
      <c r="P92" s="4"/>
    </row>
    <row r="93" spans="5:16" ht="16" customHeight="1" x14ac:dyDescent="0.2">
      <c r="E93" s="5"/>
      <c r="O93" s="4"/>
      <c r="P93" s="4"/>
    </row>
    <row r="94" spans="5:16" ht="16" customHeight="1" x14ac:dyDescent="0.2">
      <c r="E94" s="5"/>
      <c r="O94" s="4"/>
      <c r="P94" s="4"/>
    </row>
    <row r="95" spans="5:16" ht="16" customHeight="1" x14ac:dyDescent="0.2">
      <c r="E95" s="5"/>
      <c r="O95" s="4"/>
      <c r="P95" s="4"/>
    </row>
    <row r="96" spans="5:16" ht="16" customHeight="1" x14ac:dyDescent="0.2">
      <c r="E96" s="5"/>
      <c r="O96" s="4"/>
      <c r="P96" s="4"/>
    </row>
    <row r="97" spans="5:16" ht="16" customHeight="1" x14ac:dyDescent="0.2">
      <c r="E97" s="5"/>
      <c r="O97" s="4"/>
      <c r="P97" s="4"/>
    </row>
    <row r="98" spans="5:16" ht="16" customHeight="1" x14ac:dyDescent="0.2">
      <c r="E98" s="5"/>
      <c r="O98" s="4"/>
      <c r="P98" s="4"/>
    </row>
    <row r="99" spans="5:16" ht="16" customHeight="1" x14ac:dyDescent="0.2">
      <c r="E99" s="5"/>
      <c r="O99" s="4"/>
      <c r="P99" s="4"/>
    </row>
    <row r="100" spans="5:16" ht="16" customHeight="1" x14ac:dyDescent="0.2">
      <c r="E100" s="5"/>
      <c r="O100" s="4"/>
      <c r="P100" s="4"/>
    </row>
    <row r="101" spans="5:16" ht="16" customHeight="1" x14ac:dyDescent="0.2">
      <c r="E101" s="5"/>
      <c r="O101" s="4"/>
      <c r="P101" s="4"/>
    </row>
    <row r="102" spans="5:16" ht="16" customHeight="1" x14ac:dyDescent="0.2">
      <c r="E102" s="5"/>
      <c r="O102" s="4"/>
      <c r="P102" s="4"/>
    </row>
    <row r="103" spans="5:16" ht="16" customHeight="1" x14ac:dyDescent="0.2">
      <c r="E103" s="5"/>
      <c r="O103" s="4"/>
      <c r="P103" s="4"/>
    </row>
    <row r="104" spans="5:16" ht="16" customHeight="1" x14ac:dyDescent="0.2">
      <c r="E104" s="5"/>
      <c r="O104" s="4"/>
      <c r="P104" s="4"/>
    </row>
    <row r="105" spans="5:16" ht="16" customHeight="1" x14ac:dyDescent="0.2">
      <c r="E105" s="5"/>
      <c r="O105" s="4"/>
      <c r="P105" s="4"/>
    </row>
    <row r="106" spans="5:16" ht="16" customHeight="1" x14ac:dyDescent="0.2">
      <c r="E106" s="5"/>
      <c r="O106" s="4"/>
      <c r="P106" s="4"/>
    </row>
    <row r="107" spans="5:16" ht="16" customHeight="1" x14ac:dyDescent="0.2">
      <c r="E107" s="5"/>
      <c r="O107" s="4"/>
      <c r="P107" s="4"/>
    </row>
    <row r="108" spans="5:16" ht="16" customHeight="1" x14ac:dyDescent="0.2">
      <c r="E108" s="5"/>
      <c r="O108" s="4"/>
      <c r="P108" s="4"/>
    </row>
    <row r="109" spans="5:16" ht="16" customHeight="1" x14ac:dyDescent="0.2">
      <c r="E109" s="5"/>
      <c r="O109" s="4"/>
      <c r="P109" s="4"/>
    </row>
    <row r="110" spans="5:16" ht="16" customHeight="1" x14ac:dyDescent="0.2">
      <c r="E110" s="5"/>
      <c r="O110" s="4"/>
      <c r="P110" s="4"/>
    </row>
    <row r="111" spans="5:16" ht="16" customHeight="1" x14ac:dyDescent="0.2">
      <c r="E111" s="5"/>
    </row>
  </sheetData>
  <dataValidations count="3">
    <dataValidation type="list" allowBlank="1" showErrorMessage="1" errorTitle="Invalid value" error="Please select a valid value." sqref="H2:H1000" xr:uid="{00000000-0002-0000-0100-000003000000}">
      <formula1>"EASY,MEDIUM,HARD,VERY HARD"</formula1>
    </dataValidation>
    <dataValidation type="list" allowBlank="1" showErrorMessage="1" errorTitle="Invalid value" error="Please select a valid value." sqref="K2:L1000" xr:uid="{00000000-0002-0000-0100-000004000000}">
      <formula1>"cursor,keyboard,gesture,complex gesture,multi_step,multi_input"</formula1>
    </dataValidation>
    <dataValidation type="list" allowBlank="1" showErrorMessage="1" errorTitle="Invalid value" error="Please select a valid value." sqref="M2:M1000" xr:uid="{00000000-0002-0000-0100-000006000000}">
      <formula1>"canvas,gui,layers panel"</formula1>
    </dataValidation>
  </dataValidations>
  <hyperlinks>
    <hyperlink ref="B2" r:id="rId1" xr:uid="{00000000-0004-0000-01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100-000002000000}">
          <x14:formula1>
            <xm:f>_lists!$C$2:$C$1000</xm:f>
          </x14:formula1>
          <xm:sqref>J2:J1000</xm:sqref>
        </x14:dataValidation>
        <x14:dataValidation type="list" allowBlank="1" showErrorMessage="1" errorTitle="Invalid value" error="Please select a valid value." xr:uid="{00000000-0002-0000-0100-000001000000}">
          <x14:formula1>
            <xm:f>_lists!$B$2:$B$1000</xm:f>
          </x14:formula1>
          <xm:sqref>I2:I1000</xm:sqref>
        </x14:dataValidation>
        <x14:dataValidation type="list" allowBlank="1" showErrorMessage="1" errorTitle="Invalid value" error="Please select a valid value." xr:uid="{00000000-0002-0000-0100-000000000000}">
          <x14:formula1>
            <xm:f>_lists!$A$2:$A$1000</xm:f>
          </x14:formula1>
          <xm:sqref>G2:G1000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12"/>
  <sheetViews>
    <sheetView zoomScale="140" workbookViewId="0">
      <selection activeCell="B2" sqref="B2"/>
    </sheetView>
  </sheetViews>
  <sheetFormatPr baseColWidth="10" defaultColWidth="8.83203125" defaultRowHeight="15" x14ac:dyDescent="0.2"/>
  <cols>
    <col min="1" max="1" width="7" customWidth="1"/>
    <col min="2" max="2" width="6" customWidth="1"/>
    <col min="3" max="3" width="6.6640625" customWidth="1"/>
    <col min="4" max="5" width="8" customWidth="1"/>
    <col min="6" max="6" width="56.83203125" customWidth="1"/>
    <col min="7" max="7" width="79" bestFit="1" customWidth="1"/>
    <col min="8" max="8" width="12.33203125" customWidth="1"/>
    <col min="9" max="10" width="29.5" bestFit="1" customWidth="1"/>
    <col min="11" max="11" width="13.6640625" customWidth="1"/>
    <col min="12" max="12" width="4.1640625" customWidth="1"/>
    <col min="13" max="13" width="8.1640625" customWidth="1"/>
    <col min="14" max="14" width="29.83203125" bestFit="1"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12" t="s">
        <v>354</v>
      </c>
      <c r="B2" s="10" t="s">
        <v>131</v>
      </c>
      <c r="C2" t="s">
        <v>132</v>
      </c>
      <c r="D2" s="3">
        <v>0.1</v>
      </c>
      <c r="E2" s="3">
        <v>0.13</v>
      </c>
      <c r="F2" t="s">
        <v>133</v>
      </c>
      <c r="G2" t="s">
        <v>44</v>
      </c>
      <c r="I2" t="s">
        <v>45</v>
      </c>
      <c r="J2" t="s">
        <v>46</v>
      </c>
      <c r="K2" t="s">
        <v>47</v>
      </c>
      <c r="M2" t="s">
        <v>27</v>
      </c>
      <c r="N2" t="s">
        <v>28</v>
      </c>
      <c r="O2">
        <f t="shared" ref="O2:O26" si="0">(INT(D2)*60+(D2-INT(D2))*100)-(INT($D$2)*60+($D$2-INT($D$2))*100)</f>
        <v>0</v>
      </c>
      <c r="P2">
        <f t="shared" ref="P2:P26" si="1">(INT(E2)*60+(E2-INT(E2))*100)-(INT($D$2)*60+($D$2-INT($D$2))*100)</f>
        <v>3</v>
      </c>
      <c r="Q2">
        <f t="shared" ref="Q2:Q26" si="2">P2-O2</f>
        <v>3</v>
      </c>
      <c r="R2" t="str">
        <f t="shared" ref="R2:R26" si="3">IF(Q2=0,"&lt;1 second","&lt;"&amp;(ROUND(Q2,2)+1)&amp;" seconds")</f>
        <v>&lt;4 seconds</v>
      </c>
      <c r="S2">
        <f t="shared" ref="S2:S26" si="4">Q2+1</f>
        <v>4</v>
      </c>
      <c r="T2">
        <f t="shared" ref="T2:T26" si="5">Q2+0.5</f>
        <v>3.5</v>
      </c>
    </row>
    <row r="3" spans="1:21" ht="16" customHeight="1" x14ac:dyDescent="0.2">
      <c r="D3" s="3">
        <v>0.13</v>
      </c>
      <c r="E3" s="3">
        <v>0.14000000000000001</v>
      </c>
      <c r="F3" t="s">
        <v>134</v>
      </c>
      <c r="G3" s="11" t="s">
        <v>31</v>
      </c>
      <c r="I3" t="s">
        <v>32</v>
      </c>
      <c r="J3" t="s">
        <v>32</v>
      </c>
      <c r="K3" t="s">
        <v>26</v>
      </c>
      <c r="M3" t="s">
        <v>34</v>
      </c>
      <c r="N3" s="8" t="s">
        <v>123</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3">
        <v>0.14000000000000001</v>
      </c>
      <c r="E4" s="3">
        <v>0.15</v>
      </c>
      <c r="F4" t="s">
        <v>135</v>
      </c>
      <c r="G4" s="11" t="s">
        <v>31</v>
      </c>
      <c r="I4" t="s">
        <v>32</v>
      </c>
      <c r="J4" t="s">
        <v>32</v>
      </c>
      <c r="K4" t="s">
        <v>26</v>
      </c>
      <c r="M4" t="s">
        <v>34</v>
      </c>
      <c r="N4" t="s">
        <v>136</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3">
        <v>0.15</v>
      </c>
      <c r="E5" s="3">
        <v>0.2</v>
      </c>
      <c r="F5" t="s">
        <v>137</v>
      </c>
      <c r="G5" s="11" t="s">
        <v>31</v>
      </c>
      <c r="I5" t="s">
        <v>32</v>
      </c>
      <c r="J5" t="s">
        <v>32</v>
      </c>
      <c r="K5" t="s">
        <v>26</v>
      </c>
      <c r="M5" t="s">
        <v>34</v>
      </c>
      <c r="N5" t="s">
        <v>138</v>
      </c>
      <c r="O5">
        <f t="shared" si="0"/>
        <v>5</v>
      </c>
      <c r="P5">
        <f t="shared" si="1"/>
        <v>10</v>
      </c>
      <c r="Q5">
        <f t="shared" si="2"/>
        <v>5</v>
      </c>
      <c r="R5" t="str">
        <f t="shared" si="3"/>
        <v>&lt;6 seconds</v>
      </c>
      <c r="S5">
        <f t="shared" si="4"/>
        <v>6</v>
      </c>
      <c r="T5">
        <f t="shared" si="5"/>
        <v>5.5</v>
      </c>
    </row>
    <row r="6" spans="1:21" ht="16" customHeight="1" x14ac:dyDescent="0.2">
      <c r="D6" s="3">
        <v>0.2</v>
      </c>
      <c r="E6" s="3">
        <v>0.23</v>
      </c>
      <c r="F6" t="s">
        <v>139</v>
      </c>
      <c r="G6" t="s">
        <v>55</v>
      </c>
      <c r="I6" t="s">
        <v>56</v>
      </c>
      <c r="J6" t="s">
        <v>38</v>
      </c>
      <c r="K6" t="s">
        <v>26</v>
      </c>
      <c r="M6" t="s">
        <v>27</v>
      </c>
      <c r="N6" t="s">
        <v>140</v>
      </c>
      <c r="O6">
        <f t="shared" si="0"/>
        <v>10</v>
      </c>
      <c r="P6">
        <f t="shared" si="1"/>
        <v>13</v>
      </c>
      <c r="Q6">
        <f t="shared" si="2"/>
        <v>3</v>
      </c>
      <c r="R6" t="str">
        <f t="shared" si="3"/>
        <v>&lt;4 seconds</v>
      </c>
      <c r="S6">
        <f t="shared" si="4"/>
        <v>4</v>
      </c>
      <c r="T6">
        <f t="shared" si="5"/>
        <v>3.5</v>
      </c>
    </row>
    <row r="7" spans="1:21" ht="16" customHeight="1" x14ac:dyDescent="0.2">
      <c r="D7" s="3">
        <v>0.24</v>
      </c>
      <c r="E7" s="3">
        <v>0.26</v>
      </c>
      <c r="F7" t="s">
        <v>141</v>
      </c>
      <c r="G7" s="14" t="s">
        <v>142</v>
      </c>
      <c r="I7" t="s">
        <v>76</v>
      </c>
      <c r="J7" t="s">
        <v>143</v>
      </c>
      <c r="K7" t="s">
        <v>26</v>
      </c>
      <c r="M7" t="s">
        <v>27</v>
      </c>
      <c r="N7" t="s">
        <v>144</v>
      </c>
      <c r="O7">
        <f t="shared" si="0"/>
        <v>14</v>
      </c>
      <c r="P7">
        <f t="shared" si="1"/>
        <v>16</v>
      </c>
      <c r="Q7">
        <f t="shared" si="2"/>
        <v>2</v>
      </c>
      <c r="R7" t="str">
        <f t="shared" si="3"/>
        <v>&lt;3 seconds</v>
      </c>
      <c r="S7">
        <f t="shared" si="4"/>
        <v>3</v>
      </c>
      <c r="T7">
        <f t="shared" si="5"/>
        <v>2.5</v>
      </c>
    </row>
    <row r="8" spans="1:21" ht="16" customHeight="1" x14ac:dyDescent="0.2">
      <c r="D8" s="3">
        <v>0.28000000000000003</v>
      </c>
      <c r="E8" s="3">
        <v>0.28999999999999998</v>
      </c>
      <c r="F8" t="s">
        <v>145</v>
      </c>
      <c r="G8" s="14" t="s">
        <v>146</v>
      </c>
      <c r="I8" t="s">
        <v>82</v>
      </c>
      <c r="J8" t="s">
        <v>147</v>
      </c>
      <c r="K8" t="s">
        <v>26</v>
      </c>
      <c r="M8" t="s">
        <v>27</v>
      </c>
      <c r="N8" t="s">
        <v>148</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3">
        <v>0.3</v>
      </c>
      <c r="E9" s="3">
        <v>0.31</v>
      </c>
      <c r="F9" t="s">
        <v>149</v>
      </c>
      <c r="G9" s="14" t="s">
        <v>146</v>
      </c>
      <c r="I9" t="s">
        <v>82</v>
      </c>
      <c r="J9" t="s">
        <v>147</v>
      </c>
      <c r="K9" t="s">
        <v>26</v>
      </c>
      <c r="M9" t="s">
        <v>27</v>
      </c>
      <c r="N9" t="s">
        <v>148</v>
      </c>
      <c r="O9">
        <f t="shared" si="0"/>
        <v>20</v>
      </c>
      <c r="P9">
        <f t="shared" si="1"/>
        <v>21</v>
      </c>
      <c r="Q9">
        <f t="shared" si="2"/>
        <v>1</v>
      </c>
      <c r="R9" t="str">
        <f t="shared" si="3"/>
        <v>&lt;2 seconds</v>
      </c>
      <c r="S9">
        <f t="shared" si="4"/>
        <v>2</v>
      </c>
      <c r="T9">
        <f t="shared" si="5"/>
        <v>1.5</v>
      </c>
    </row>
    <row r="10" spans="1:21" ht="16" customHeight="1" x14ac:dyDescent="0.2">
      <c r="D10" s="3">
        <v>0.33</v>
      </c>
      <c r="E10" s="3">
        <v>0.34</v>
      </c>
      <c r="G10" t="s">
        <v>68</v>
      </c>
      <c r="N10" t="s">
        <v>113</v>
      </c>
      <c r="O10">
        <f t="shared" si="0"/>
        <v>23</v>
      </c>
      <c r="P10">
        <f t="shared" si="1"/>
        <v>24</v>
      </c>
      <c r="Q10">
        <f t="shared" si="2"/>
        <v>1</v>
      </c>
      <c r="R10" t="str">
        <f t="shared" si="3"/>
        <v>&lt;2 seconds</v>
      </c>
      <c r="S10">
        <f t="shared" si="4"/>
        <v>2</v>
      </c>
      <c r="T10">
        <f t="shared" si="5"/>
        <v>1.5</v>
      </c>
    </row>
    <row r="11" spans="1:21" ht="16" customHeight="1" x14ac:dyDescent="0.2">
      <c r="D11" s="3">
        <v>0.36</v>
      </c>
      <c r="E11" s="3">
        <v>0.39</v>
      </c>
      <c r="F11" t="s">
        <v>150</v>
      </c>
      <c r="G11" s="14" t="s">
        <v>151</v>
      </c>
      <c r="I11" t="s">
        <v>152</v>
      </c>
      <c r="J11" t="s">
        <v>152</v>
      </c>
      <c r="K11" t="s">
        <v>26</v>
      </c>
      <c r="M11" t="s">
        <v>27</v>
      </c>
      <c r="N11" t="s">
        <v>153</v>
      </c>
      <c r="O11">
        <f t="shared" si="0"/>
        <v>26</v>
      </c>
      <c r="P11">
        <f t="shared" si="1"/>
        <v>29</v>
      </c>
      <c r="Q11">
        <f t="shared" si="2"/>
        <v>3</v>
      </c>
      <c r="R11" t="str">
        <f t="shared" si="3"/>
        <v>&lt;4 seconds</v>
      </c>
      <c r="S11">
        <f t="shared" si="4"/>
        <v>4</v>
      </c>
      <c r="T11">
        <f t="shared" si="5"/>
        <v>3.5</v>
      </c>
    </row>
    <row r="12" spans="1:21" ht="16" customHeight="1" x14ac:dyDescent="0.2">
      <c r="D12" s="3">
        <v>0.41</v>
      </c>
      <c r="E12" s="3">
        <v>0.46</v>
      </c>
      <c r="F12" t="s">
        <v>154</v>
      </c>
      <c r="G12" s="14" t="s">
        <v>151</v>
      </c>
      <c r="I12" t="s">
        <v>152</v>
      </c>
      <c r="J12" t="s">
        <v>152</v>
      </c>
      <c r="K12" t="s">
        <v>26</v>
      </c>
      <c r="M12" t="s">
        <v>27</v>
      </c>
      <c r="N12" t="s">
        <v>153</v>
      </c>
      <c r="O12">
        <f t="shared" si="0"/>
        <v>31</v>
      </c>
      <c r="P12">
        <f t="shared" si="1"/>
        <v>36</v>
      </c>
      <c r="Q12">
        <f t="shared" si="2"/>
        <v>5</v>
      </c>
      <c r="R12" t="str">
        <f t="shared" si="3"/>
        <v>&lt;6 seconds</v>
      </c>
      <c r="S12">
        <f t="shared" si="4"/>
        <v>6</v>
      </c>
      <c r="T12">
        <f t="shared" si="5"/>
        <v>5.5</v>
      </c>
    </row>
    <row r="13" spans="1:21" ht="16" customHeight="1" x14ac:dyDescent="0.2">
      <c r="D13" s="3">
        <v>0.47</v>
      </c>
      <c r="E13" s="3">
        <f>D13</f>
        <v>0.47</v>
      </c>
      <c r="F13" t="s">
        <v>155</v>
      </c>
      <c r="G13" s="14" t="s">
        <v>142</v>
      </c>
      <c r="I13" t="s">
        <v>76</v>
      </c>
      <c r="J13" t="s">
        <v>143</v>
      </c>
      <c r="K13" t="s">
        <v>26</v>
      </c>
      <c r="M13" t="s">
        <v>27</v>
      </c>
      <c r="N13" t="s">
        <v>156</v>
      </c>
      <c r="O13">
        <f t="shared" si="0"/>
        <v>37</v>
      </c>
      <c r="P13">
        <f t="shared" si="1"/>
        <v>37</v>
      </c>
      <c r="Q13">
        <f t="shared" si="2"/>
        <v>0</v>
      </c>
      <c r="R13" t="str">
        <f t="shared" si="3"/>
        <v>&lt;1 second</v>
      </c>
      <c r="S13">
        <f t="shared" si="4"/>
        <v>1</v>
      </c>
      <c r="T13">
        <f t="shared" si="5"/>
        <v>0.5</v>
      </c>
    </row>
    <row r="14" spans="1:21" ht="16" customHeight="1" x14ac:dyDescent="0.2">
      <c r="D14" s="3">
        <v>0.49</v>
      </c>
      <c r="E14" s="3">
        <v>0.5</v>
      </c>
      <c r="F14" t="s">
        <v>157</v>
      </c>
      <c r="G14" s="14" t="s">
        <v>158</v>
      </c>
      <c r="I14" t="s">
        <v>45</v>
      </c>
      <c r="J14" t="s">
        <v>159</v>
      </c>
      <c r="K14" t="s">
        <v>91</v>
      </c>
      <c r="M14" t="s">
        <v>27</v>
      </c>
      <c r="N14" t="s">
        <v>28</v>
      </c>
      <c r="O14">
        <f t="shared" si="0"/>
        <v>39</v>
      </c>
      <c r="P14">
        <f t="shared" si="1"/>
        <v>40</v>
      </c>
      <c r="Q14">
        <f t="shared" si="2"/>
        <v>1</v>
      </c>
      <c r="R14" t="str">
        <f t="shared" si="3"/>
        <v>&lt;2 seconds</v>
      </c>
      <c r="S14">
        <f t="shared" si="4"/>
        <v>2</v>
      </c>
      <c r="T14">
        <f t="shared" si="5"/>
        <v>1.5</v>
      </c>
    </row>
    <row r="15" spans="1:21" ht="16" customHeight="1" x14ac:dyDescent="0.2">
      <c r="D15" s="3">
        <v>0.51</v>
      </c>
      <c r="E15" s="3">
        <f>D15</f>
        <v>0.51</v>
      </c>
      <c r="F15" t="s">
        <v>160</v>
      </c>
      <c r="G15" t="s">
        <v>161</v>
      </c>
      <c r="I15" t="s">
        <v>45</v>
      </c>
      <c r="J15" t="s">
        <v>162</v>
      </c>
      <c r="K15" t="s">
        <v>91</v>
      </c>
      <c r="M15" t="s">
        <v>27</v>
      </c>
      <c r="N15" t="s">
        <v>28</v>
      </c>
      <c r="O15">
        <f t="shared" si="0"/>
        <v>41</v>
      </c>
      <c r="P15">
        <f t="shared" si="1"/>
        <v>41</v>
      </c>
      <c r="Q15">
        <f t="shared" si="2"/>
        <v>0</v>
      </c>
      <c r="R15" t="str">
        <f t="shared" si="3"/>
        <v>&lt;1 second</v>
      </c>
      <c r="S15">
        <f t="shared" si="4"/>
        <v>1</v>
      </c>
      <c r="T15">
        <f t="shared" si="5"/>
        <v>0.5</v>
      </c>
    </row>
    <row r="16" spans="1:21" ht="16" customHeight="1" x14ac:dyDescent="0.2">
      <c r="D16" s="3">
        <v>0.53</v>
      </c>
      <c r="E16" s="3">
        <v>0.54</v>
      </c>
      <c r="F16" t="s">
        <v>163</v>
      </c>
      <c r="G16" s="14" t="s">
        <v>164</v>
      </c>
      <c r="I16" t="s">
        <v>45</v>
      </c>
      <c r="J16" t="s">
        <v>162</v>
      </c>
      <c r="K16" t="s">
        <v>91</v>
      </c>
      <c r="M16" t="s">
        <v>27</v>
      </c>
      <c r="N16" t="s">
        <v>28</v>
      </c>
      <c r="O16">
        <f t="shared" si="0"/>
        <v>43</v>
      </c>
      <c r="P16">
        <f t="shared" si="1"/>
        <v>44</v>
      </c>
      <c r="Q16">
        <f t="shared" si="2"/>
        <v>1</v>
      </c>
      <c r="R16" t="str">
        <f t="shared" si="3"/>
        <v>&lt;2 seconds</v>
      </c>
      <c r="S16">
        <f t="shared" si="4"/>
        <v>2</v>
      </c>
      <c r="T16">
        <f t="shared" si="5"/>
        <v>1.5</v>
      </c>
    </row>
    <row r="17" spans="4:20" ht="16" customHeight="1" x14ac:dyDescent="0.2">
      <c r="D17" s="3">
        <v>0.55000000000000004</v>
      </c>
      <c r="E17" s="3">
        <f>D17</f>
        <v>0.55000000000000004</v>
      </c>
      <c r="F17" t="s">
        <v>165</v>
      </c>
      <c r="G17" s="14" t="s">
        <v>40</v>
      </c>
      <c r="I17" t="s">
        <v>41</v>
      </c>
      <c r="J17" t="s">
        <v>41</v>
      </c>
      <c r="K17" t="s">
        <v>42</v>
      </c>
      <c r="M17" t="s">
        <v>27</v>
      </c>
      <c r="N17" t="s">
        <v>41</v>
      </c>
      <c r="O17">
        <f t="shared" si="0"/>
        <v>45.000000000000007</v>
      </c>
      <c r="P17">
        <f t="shared" si="1"/>
        <v>45.000000000000007</v>
      </c>
      <c r="Q17">
        <f t="shared" si="2"/>
        <v>0</v>
      </c>
      <c r="R17" t="str">
        <f t="shared" si="3"/>
        <v>&lt;1 second</v>
      </c>
      <c r="S17">
        <f t="shared" si="4"/>
        <v>1</v>
      </c>
      <c r="T17">
        <f t="shared" si="5"/>
        <v>0.5</v>
      </c>
    </row>
    <row r="18" spans="4:20" ht="16" customHeight="1" x14ac:dyDescent="0.2">
      <c r="D18" s="3">
        <v>0.55000000000000004</v>
      </c>
      <c r="E18" s="3">
        <v>0.56000000000000005</v>
      </c>
      <c r="F18" t="s">
        <v>166</v>
      </c>
      <c r="G18" t="s">
        <v>161</v>
      </c>
      <c r="I18" t="s">
        <v>45</v>
      </c>
      <c r="J18" t="s">
        <v>162</v>
      </c>
      <c r="K18" t="s">
        <v>91</v>
      </c>
      <c r="M18" t="s">
        <v>27</v>
      </c>
      <c r="N18" t="s">
        <v>28</v>
      </c>
      <c r="O18">
        <f t="shared" si="0"/>
        <v>45.000000000000007</v>
      </c>
      <c r="P18">
        <f t="shared" si="1"/>
        <v>46.000000000000007</v>
      </c>
      <c r="Q18">
        <f t="shared" si="2"/>
        <v>1</v>
      </c>
      <c r="R18" t="str">
        <f t="shared" si="3"/>
        <v>&lt;2 seconds</v>
      </c>
      <c r="S18">
        <f t="shared" si="4"/>
        <v>2</v>
      </c>
      <c r="T18">
        <f t="shared" si="5"/>
        <v>1.5</v>
      </c>
    </row>
    <row r="19" spans="4:20" ht="16" customHeight="1" x14ac:dyDescent="0.2">
      <c r="D19" s="3">
        <v>0.57999999999999996</v>
      </c>
      <c r="E19" s="3">
        <f>D19</f>
        <v>0.57999999999999996</v>
      </c>
      <c r="F19" t="s">
        <v>167</v>
      </c>
      <c r="G19" s="11" t="s">
        <v>31</v>
      </c>
      <c r="I19" t="s">
        <v>32</v>
      </c>
      <c r="J19" t="s">
        <v>33</v>
      </c>
      <c r="K19" t="s">
        <v>26</v>
      </c>
      <c r="M19" t="s">
        <v>34</v>
      </c>
      <c r="N19" s="8" t="s">
        <v>123</v>
      </c>
      <c r="O19" s="4">
        <f t="shared" si="0"/>
        <v>47.999999999999993</v>
      </c>
      <c r="P19">
        <f t="shared" si="1"/>
        <v>47.999999999999993</v>
      </c>
      <c r="Q19">
        <f t="shared" si="2"/>
        <v>0</v>
      </c>
      <c r="R19" t="str">
        <f t="shared" si="3"/>
        <v>&lt;1 second</v>
      </c>
      <c r="S19">
        <f t="shared" si="4"/>
        <v>1</v>
      </c>
      <c r="T19">
        <f t="shared" si="5"/>
        <v>0.5</v>
      </c>
    </row>
    <row r="20" spans="4:20" ht="16" customHeight="1" x14ac:dyDescent="0.2">
      <c r="D20" s="3">
        <v>0.59</v>
      </c>
      <c r="E20" s="3">
        <f>D20</f>
        <v>0.59</v>
      </c>
      <c r="F20" t="s">
        <v>168</v>
      </c>
      <c r="G20" t="s">
        <v>44</v>
      </c>
      <c r="I20" t="s">
        <v>45</v>
      </c>
      <c r="J20" t="s">
        <v>46</v>
      </c>
      <c r="K20" t="s">
        <v>47</v>
      </c>
      <c r="M20" t="s">
        <v>27</v>
      </c>
      <c r="N20" t="s">
        <v>28</v>
      </c>
      <c r="O20">
        <f t="shared" si="0"/>
        <v>49</v>
      </c>
      <c r="P20">
        <f t="shared" si="1"/>
        <v>49</v>
      </c>
      <c r="Q20">
        <f t="shared" si="2"/>
        <v>0</v>
      </c>
      <c r="R20" t="str">
        <f t="shared" si="3"/>
        <v>&lt;1 second</v>
      </c>
      <c r="S20">
        <f t="shared" si="4"/>
        <v>1</v>
      </c>
      <c r="T20">
        <f t="shared" si="5"/>
        <v>0.5</v>
      </c>
    </row>
    <row r="21" spans="4:20" ht="16" customHeight="1" x14ac:dyDescent="0.2">
      <c r="D21" s="3">
        <v>0.59</v>
      </c>
      <c r="E21" s="3">
        <v>1.01</v>
      </c>
      <c r="F21" t="s">
        <v>169</v>
      </c>
      <c r="G21" s="14" t="s">
        <v>170</v>
      </c>
      <c r="I21" t="s">
        <v>56</v>
      </c>
      <c r="J21" t="s">
        <v>171</v>
      </c>
      <c r="K21" t="s">
        <v>26</v>
      </c>
      <c r="M21" t="s">
        <v>27</v>
      </c>
      <c r="N21" t="s">
        <v>172</v>
      </c>
      <c r="O21">
        <f t="shared" si="0"/>
        <v>49</v>
      </c>
      <c r="P21">
        <f t="shared" si="1"/>
        <v>51</v>
      </c>
      <c r="Q21">
        <f t="shared" si="2"/>
        <v>2</v>
      </c>
      <c r="R21" t="str">
        <f t="shared" si="3"/>
        <v>&lt;3 seconds</v>
      </c>
      <c r="S21">
        <f t="shared" si="4"/>
        <v>3</v>
      </c>
      <c r="T21">
        <f t="shared" si="5"/>
        <v>2.5</v>
      </c>
    </row>
    <row r="22" spans="4:20" ht="16" customHeight="1" x14ac:dyDescent="0.2">
      <c r="D22" s="3">
        <v>1.02</v>
      </c>
      <c r="E22" s="3">
        <f>D22</f>
        <v>1.02</v>
      </c>
      <c r="F22" t="s">
        <v>173</v>
      </c>
      <c r="G22" t="s">
        <v>161</v>
      </c>
      <c r="I22" t="s">
        <v>45</v>
      </c>
      <c r="J22" t="s">
        <v>162</v>
      </c>
      <c r="K22" t="s">
        <v>91</v>
      </c>
      <c r="M22" t="s">
        <v>27</v>
      </c>
      <c r="N22" t="s">
        <v>28</v>
      </c>
      <c r="O22">
        <f t="shared" si="0"/>
        <v>52</v>
      </c>
      <c r="P22">
        <f t="shared" si="1"/>
        <v>52</v>
      </c>
      <c r="Q22">
        <f t="shared" si="2"/>
        <v>0</v>
      </c>
      <c r="R22" t="str">
        <f t="shared" si="3"/>
        <v>&lt;1 second</v>
      </c>
      <c r="S22">
        <f t="shared" si="4"/>
        <v>1</v>
      </c>
      <c r="T22">
        <f t="shared" si="5"/>
        <v>0.5</v>
      </c>
    </row>
    <row r="23" spans="4:20" ht="16" customHeight="1" x14ac:dyDescent="0.2">
      <c r="D23" s="3">
        <v>1.03</v>
      </c>
      <c r="E23" s="3">
        <f>D23</f>
        <v>1.03</v>
      </c>
      <c r="F23" t="s">
        <v>174</v>
      </c>
      <c r="G23" s="14" t="s">
        <v>146</v>
      </c>
      <c r="I23" t="s">
        <v>82</v>
      </c>
      <c r="J23" t="s">
        <v>147</v>
      </c>
      <c r="K23" t="s">
        <v>26</v>
      </c>
      <c r="M23" t="s">
        <v>27</v>
      </c>
      <c r="N23" t="s">
        <v>148</v>
      </c>
      <c r="O23">
        <f t="shared" si="0"/>
        <v>53</v>
      </c>
      <c r="P23">
        <f t="shared" si="1"/>
        <v>53</v>
      </c>
      <c r="Q23">
        <f t="shared" si="2"/>
        <v>0</v>
      </c>
      <c r="R23" t="str">
        <f t="shared" si="3"/>
        <v>&lt;1 second</v>
      </c>
      <c r="S23">
        <f t="shared" si="4"/>
        <v>1</v>
      </c>
      <c r="T23">
        <f t="shared" si="5"/>
        <v>0.5</v>
      </c>
    </row>
    <row r="24" spans="4:20" ht="16" customHeight="1" x14ac:dyDescent="0.2">
      <c r="D24" s="3">
        <v>1.05</v>
      </c>
      <c r="E24" s="3">
        <f>D24</f>
        <v>1.05</v>
      </c>
      <c r="F24" t="s">
        <v>175</v>
      </c>
      <c r="G24" t="s">
        <v>50</v>
      </c>
      <c r="I24" t="s">
        <v>24</v>
      </c>
      <c r="J24" t="s">
        <v>51</v>
      </c>
      <c r="K24" t="s">
        <v>26</v>
      </c>
      <c r="M24" t="s">
        <v>27</v>
      </c>
      <c r="N24" t="s">
        <v>51</v>
      </c>
      <c r="O24">
        <f t="shared" si="0"/>
        <v>55</v>
      </c>
      <c r="P24">
        <f t="shared" si="1"/>
        <v>55</v>
      </c>
      <c r="Q24">
        <f t="shared" si="2"/>
        <v>0</v>
      </c>
      <c r="R24" t="str">
        <f t="shared" si="3"/>
        <v>&lt;1 second</v>
      </c>
      <c r="S24">
        <f t="shared" si="4"/>
        <v>1</v>
      </c>
      <c r="T24">
        <f t="shared" si="5"/>
        <v>0.5</v>
      </c>
    </row>
    <row r="25" spans="4:20" ht="16" customHeight="1" x14ac:dyDescent="0.2">
      <c r="D25" s="3">
        <v>1.06</v>
      </c>
      <c r="E25" s="3">
        <v>1.0900000000000001</v>
      </c>
      <c r="F25" t="s">
        <v>176</v>
      </c>
      <c r="G25" s="14" t="s">
        <v>146</v>
      </c>
      <c r="I25" t="s">
        <v>82</v>
      </c>
      <c r="J25" t="s">
        <v>147</v>
      </c>
      <c r="K25" t="s">
        <v>26</v>
      </c>
      <c r="M25" t="s">
        <v>27</v>
      </c>
      <c r="N25" t="s">
        <v>148</v>
      </c>
      <c r="O25">
        <f t="shared" si="0"/>
        <v>56</v>
      </c>
      <c r="P25">
        <f t="shared" si="1"/>
        <v>59</v>
      </c>
      <c r="Q25">
        <f t="shared" si="2"/>
        <v>3</v>
      </c>
      <c r="R25" t="str">
        <f t="shared" si="3"/>
        <v>&lt;4 seconds</v>
      </c>
      <c r="S25">
        <f t="shared" si="4"/>
        <v>4</v>
      </c>
      <c r="T25">
        <f t="shared" si="5"/>
        <v>3.5</v>
      </c>
    </row>
    <row r="26" spans="4:20" ht="16" customHeight="1" x14ac:dyDescent="0.2">
      <c r="D26" s="3">
        <v>1.1200000000000001</v>
      </c>
      <c r="E26" s="3">
        <f>D26</f>
        <v>1.1200000000000001</v>
      </c>
      <c r="F26" t="s">
        <v>177</v>
      </c>
      <c r="G26" t="s">
        <v>23</v>
      </c>
      <c r="I26" t="s">
        <v>24</v>
      </c>
      <c r="J26" t="s">
        <v>25</v>
      </c>
      <c r="K26" t="s">
        <v>42</v>
      </c>
      <c r="M26" t="s">
        <v>27</v>
      </c>
      <c r="N26" t="s">
        <v>178</v>
      </c>
      <c r="O26">
        <f t="shared" si="0"/>
        <v>62.000000000000014</v>
      </c>
      <c r="P26">
        <f t="shared" si="1"/>
        <v>62.000000000000014</v>
      </c>
      <c r="Q26">
        <f t="shared" si="2"/>
        <v>0</v>
      </c>
      <c r="R26" t="str">
        <f t="shared" si="3"/>
        <v>&lt;1 second</v>
      </c>
      <c r="S26">
        <f t="shared" si="4"/>
        <v>1</v>
      </c>
      <c r="T26">
        <f t="shared" si="5"/>
        <v>0.5</v>
      </c>
    </row>
    <row r="27" spans="4:20" ht="16" customHeight="1" x14ac:dyDescent="0.2"/>
    <row r="28" spans="4:20" ht="16" customHeight="1" x14ac:dyDescent="0.2"/>
    <row r="29" spans="4:20" ht="16" customHeight="1" x14ac:dyDescent="0.2"/>
    <row r="30" spans="4:20" ht="16" customHeight="1" x14ac:dyDescent="0.2"/>
    <row r="31" spans="4:20" ht="16" customHeight="1" x14ac:dyDescent="0.2"/>
    <row r="32" spans="4:20" ht="16" customHeight="1" x14ac:dyDescent="0.2"/>
    <row r="33" ht="16" customHeight="1" x14ac:dyDescent="0.2"/>
    <row r="34" ht="16" customHeight="1" x14ac:dyDescent="0.2"/>
    <row r="35" ht="16" customHeight="1" x14ac:dyDescent="0.2"/>
    <row r="36" ht="16" customHeight="1" x14ac:dyDescent="0.2"/>
    <row r="37" ht="16" customHeight="1" x14ac:dyDescent="0.2"/>
    <row r="38" ht="16" customHeight="1" x14ac:dyDescent="0.2"/>
    <row r="39" ht="16" customHeight="1" x14ac:dyDescent="0.2"/>
    <row r="40" ht="16" customHeight="1" x14ac:dyDescent="0.2"/>
    <row r="41" ht="16" customHeight="1" x14ac:dyDescent="0.2"/>
    <row r="42" ht="16" customHeight="1" x14ac:dyDescent="0.2"/>
    <row r="43" ht="16" customHeight="1" x14ac:dyDescent="0.2"/>
    <row r="44" ht="16" customHeight="1" x14ac:dyDescent="0.2"/>
    <row r="45" ht="16" customHeight="1" x14ac:dyDescent="0.2"/>
    <row r="46" ht="16" customHeight="1" x14ac:dyDescent="0.2"/>
    <row r="47" ht="16" customHeight="1" x14ac:dyDescent="0.2"/>
    <row r="48" ht="16" customHeight="1" x14ac:dyDescent="0.2"/>
    <row r="49" ht="16" customHeight="1" x14ac:dyDescent="0.2"/>
    <row r="50" ht="16" customHeight="1" x14ac:dyDescent="0.2"/>
    <row r="51" ht="16" customHeight="1" x14ac:dyDescent="0.2"/>
    <row r="52" ht="16" customHeight="1" x14ac:dyDescent="0.2"/>
    <row r="53" ht="16" customHeight="1" x14ac:dyDescent="0.2"/>
    <row r="54" ht="16" customHeight="1" x14ac:dyDescent="0.2"/>
    <row r="55" ht="16" customHeight="1" x14ac:dyDescent="0.2"/>
    <row r="56" ht="16" customHeight="1" x14ac:dyDescent="0.2"/>
    <row r="57" ht="16" customHeight="1" x14ac:dyDescent="0.2"/>
    <row r="58" ht="16" customHeight="1" x14ac:dyDescent="0.2"/>
    <row r="59" ht="16" customHeight="1" x14ac:dyDescent="0.2"/>
    <row r="60" ht="16" customHeight="1" x14ac:dyDescent="0.2"/>
    <row r="61" ht="16" customHeight="1" x14ac:dyDescent="0.2"/>
    <row r="62" ht="16" customHeight="1" x14ac:dyDescent="0.2"/>
    <row r="63" ht="16" customHeight="1" x14ac:dyDescent="0.2"/>
    <row r="64" ht="16" customHeight="1" x14ac:dyDescent="0.2"/>
    <row r="65" ht="16" customHeight="1" x14ac:dyDescent="0.2"/>
    <row r="66" ht="16" customHeight="1" x14ac:dyDescent="0.2"/>
    <row r="67" ht="16" customHeight="1" x14ac:dyDescent="0.2"/>
    <row r="68" ht="16" customHeight="1" x14ac:dyDescent="0.2"/>
    <row r="69" ht="16" customHeight="1" x14ac:dyDescent="0.2"/>
    <row r="70" ht="16" customHeight="1" x14ac:dyDescent="0.2"/>
    <row r="71" ht="16" customHeight="1" x14ac:dyDescent="0.2"/>
    <row r="72" ht="16" customHeight="1" x14ac:dyDescent="0.2"/>
    <row r="73" ht="16" customHeight="1" x14ac:dyDescent="0.2"/>
    <row r="74" ht="16" customHeight="1" x14ac:dyDescent="0.2"/>
    <row r="75" ht="16" customHeight="1" x14ac:dyDescent="0.2"/>
    <row r="76" ht="16" customHeight="1" x14ac:dyDescent="0.2"/>
    <row r="77" ht="16" customHeight="1" x14ac:dyDescent="0.2"/>
    <row r="78" ht="16" customHeight="1" x14ac:dyDescent="0.2"/>
    <row r="79" ht="16" customHeight="1" x14ac:dyDescent="0.2"/>
    <row r="80" ht="16" customHeight="1" x14ac:dyDescent="0.2"/>
    <row r="81" ht="16" customHeight="1" x14ac:dyDescent="0.2"/>
    <row r="82" ht="16" customHeight="1" x14ac:dyDescent="0.2"/>
    <row r="83" ht="16" customHeight="1" x14ac:dyDescent="0.2"/>
    <row r="84" ht="16" customHeight="1" x14ac:dyDescent="0.2"/>
    <row r="85" ht="16" customHeight="1" x14ac:dyDescent="0.2"/>
    <row r="86" ht="16" customHeight="1" x14ac:dyDescent="0.2"/>
    <row r="87" ht="16" customHeight="1" x14ac:dyDescent="0.2"/>
    <row r="88" ht="16" customHeight="1" x14ac:dyDescent="0.2"/>
    <row r="89" ht="16" customHeight="1" x14ac:dyDescent="0.2"/>
    <row r="90" ht="16" customHeight="1" x14ac:dyDescent="0.2"/>
    <row r="91" ht="16" customHeight="1" x14ac:dyDescent="0.2"/>
    <row r="92" ht="16" customHeight="1" x14ac:dyDescent="0.2"/>
    <row r="93" ht="16" customHeight="1" x14ac:dyDescent="0.2"/>
    <row r="94" ht="16" customHeight="1" x14ac:dyDescent="0.2"/>
    <row r="95" ht="16" customHeight="1" x14ac:dyDescent="0.2"/>
    <row r="96" ht="16" customHeight="1" x14ac:dyDescent="0.2"/>
    <row r="97" ht="16" customHeight="1" x14ac:dyDescent="0.2"/>
    <row r="98" ht="16" customHeight="1" x14ac:dyDescent="0.2"/>
    <row r="99" ht="16" customHeight="1" x14ac:dyDescent="0.2"/>
    <row r="100" ht="16" customHeight="1" x14ac:dyDescent="0.2"/>
    <row r="101" ht="16" customHeight="1" x14ac:dyDescent="0.2"/>
    <row r="102" ht="16" customHeight="1" x14ac:dyDescent="0.2"/>
    <row r="103" ht="16" customHeight="1" x14ac:dyDescent="0.2"/>
    <row r="104" ht="16" customHeight="1" x14ac:dyDescent="0.2"/>
    <row r="105" ht="16" customHeight="1" x14ac:dyDescent="0.2"/>
    <row r="106" ht="16" customHeight="1" x14ac:dyDescent="0.2"/>
    <row r="107" ht="16" customHeight="1" x14ac:dyDescent="0.2"/>
    <row r="108" ht="16" customHeight="1" x14ac:dyDescent="0.2"/>
    <row r="109" ht="16" customHeight="1" x14ac:dyDescent="0.2"/>
    <row r="110" ht="16" customHeight="1" x14ac:dyDescent="0.2"/>
    <row r="111" ht="16" customHeight="1" x14ac:dyDescent="0.2"/>
    <row r="112" ht="16" customHeight="1" x14ac:dyDescent="0.2"/>
  </sheetData>
  <dataValidations count="3">
    <dataValidation type="list" allowBlank="1" showErrorMessage="1" errorTitle="Invalid value" error="Please select a valid value." sqref="H2:H1000" xr:uid="{00000000-0002-0000-0200-000003000000}">
      <formula1>"EASY,MEDIUM,HARD,VERY HARD"</formula1>
    </dataValidation>
    <dataValidation type="list" allowBlank="1" showErrorMessage="1" errorTitle="Invalid value" error="Please select a valid value." sqref="K2:L1000" xr:uid="{00000000-0002-0000-0200-000004000000}">
      <formula1>"cursor,keyboard,gesture,complex gesture,multi_step,multi_input"</formula1>
    </dataValidation>
    <dataValidation type="list" allowBlank="1" showErrorMessage="1" errorTitle="Invalid value" error="Please select a valid value." sqref="M2:M1000" xr:uid="{00000000-0002-0000-0200-000006000000}">
      <formula1>"canvas,gui,layers panel"</formula1>
    </dataValidation>
  </dataValidations>
  <hyperlinks>
    <hyperlink ref="B2" r:id="rId1" xr:uid="{00000000-0004-0000-02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200-000002000000}">
          <x14:formula1>
            <xm:f>_lists!$C$2:$C$1000</xm:f>
          </x14:formula1>
          <xm:sqref>J2:J1000</xm:sqref>
        </x14:dataValidation>
        <x14:dataValidation type="list" allowBlank="1" showErrorMessage="1" errorTitle="Invalid value" error="Please select a valid value." xr:uid="{00000000-0002-0000-0200-000001000000}">
          <x14:formula1>
            <xm:f>_lists!$B$2:$B$1000</xm:f>
          </x14:formula1>
          <xm:sqref>I2:I1000</xm:sqref>
        </x14:dataValidation>
        <x14:dataValidation type="list" allowBlank="1" showErrorMessage="1" errorTitle="Invalid value" error="Please select a valid value." xr:uid="{00000000-0002-0000-0200-000000000000}">
          <x14:formula1>
            <xm:f>_lists!$A$2:$A$1000</xm:f>
          </x14:formula1>
          <xm:sqref>G2:G1000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7"/>
  <sheetViews>
    <sheetView zoomScaleNormal="218"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5.33203125" customWidth="1"/>
    <col min="9" max="9" width="26.83203125" customWidth="1"/>
    <col min="10" max="10" width="24.1640625" bestFit="1" customWidth="1"/>
    <col min="11" max="11" width="15" customWidth="1"/>
    <col min="12" max="12" width="4" customWidth="1"/>
    <col min="13" max="13" width="10.1640625" bestFit="1" customWidth="1"/>
    <col min="14" max="14" width="39.83203125" bestFit="1"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179</v>
      </c>
      <c r="B2" s="10" t="s">
        <v>180</v>
      </c>
      <c r="C2" t="s">
        <v>181</v>
      </c>
      <c r="D2" s="3">
        <v>10.36</v>
      </c>
      <c r="E2" s="3">
        <f>D2</f>
        <v>10.36</v>
      </c>
      <c r="G2" t="s">
        <v>50</v>
      </c>
      <c r="I2" t="s">
        <v>24</v>
      </c>
      <c r="J2" t="s">
        <v>51</v>
      </c>
      <c r="K2" t="s">
        <v>26</v>
      </c>
      <c r="M2" t="s">
        <v>27</v>
      </c>
      <c r="N2" t="s">
        <v>51</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10.37</v>
      </c>
      <c r="E3" s="3">
        <f>D3</f>
        <v>10.37</v>
      </c>
      <c r="G3" t="s">
        <v>108</v>
      </c>
      <c r="I3" t="s">
        <v>24</v>
      </c>
      <c r="J3" t="s">
        <v>71</v>
      </c>
      <c r="K3" t="s">
        <v>26</v>
      </c>
      <c r="M3" t="s">
        <v>27</v>
      </c>
      <c r="N3" t="s">
        <v>71</v>
      </c>
      <c r="O3">
        <f t="shared" si="0"/>
        <v>0.99999999999988631</v>
      </c>
      <c r="P3">
        <f t="shared" si="1"/>
        <v>0.99999999999988631</v>
      </c>
      <c r="Q3">
        <f t="shared" si="2"/>
        <v>0</v>
      </c>
      <c r="R3" t="str">
        <f t="shared" si="3"/>
        <v>&lt;1 second</v>
      </c>
      <c r="S3">
        <f t="shared" si="4"/>
        <v>1</v>
      </c>
      <c r="T3">
        <f t="shared" si="5"/>
        <v>0.5</v>
      </c>
    </row>
    <row r="4" spans="1:21" x14ac:dyDescent="0.2">
      <c r="D4" s="3">
        <v>10.37</v>
      </c>
      <c r="E4" s="3">
        <f>D4</f>
        <v>10.37</v>
      </c>
      <c r="G4" s="14" t="s">
        <v>182</v>
      </c>
      <c r="I4" s="15" t="s">
        <v>80</v>
      </c>
      <c r="J4" s="15" t="s">
        <v>183</v>
      </c>
      <c r="K4" t="s">
        <v>42</v>
      </c>
      <c r="M4" t="s">
        <v>27</v>
      </c>
      <c r="N4" t="s">
        <v>184</v>
      </c>
      <c r="O4">
        <f t="shared" si="0"/>
        <v>0.99999999999988631</v>
      </c>
      <c r="P4">
        <f t="shared" si="1"/>
        <v>0.99999999999988631</v>
      </c>
      <c r="Q4">
        <f t="shared" si="2"/>
        <v>0</v>
      </c>
      <c r="R4" t="str">
        <f t="shared" si="3"/>
        <v>&lt;1 second</v>
      </c>
      <c r="S4">
        <f t="shared" si="4"/>
        <v>1</v>
      </c>
      <c r="T4">
        <f t="shared" si="5"/>
        <v>0.5</v>
      </c>
    </row>
    <row r="5" spans="1:21" x14ac:dyDescent="0.2">
      <c r="D5" s="3">
        <v>10.37</v>
      </c>
      <c r="E5" s="3">
        <f>D5</f>
        <v>10.37</v>
      </c>
      <c r="G5" s="14" t="s">
        <v>63</v>
      </c>
      <c r="I5" t="s">
        <v>28</v>
      </c>
      <c r="J5" t="s">
        <v>64</v>
      </c>
      <c r="K5" t="s">
        <v>26</v>
      </c>
      <c r="M5" t="s">
        <v>65</v>
      </c>
      <c r="N5" t="s">
        <v>28</v>
      </c>
      <c r="O5">
        <f t="shared" si="0"/>
        <v>0.99999999999988631</v>
      </c>
      <c r="P5">
        <f t="shared" si="1"/>
        <v>0.99999999999988631</v>
      </c>
      <c r="Q5">
        <f t="shared" si="2"/>
        <v>0</v>
      </c>
      <c r="R5" t="str">
        <f t="shared" si="3"/>
        <v>&lt;1 second</v>
      </c>
      <c r="S5">
        <f t="shared" si="4"/>
        <v>1</v>
      </c>
      <c r="T5">
        <f t="shared" si="5"/>
        <v>0.5</v>
      </c>
    </row>
    <row r="6" spans="1:21" x14ac:dyDescent="0.2">
      <c r="D6" s="3">
        <v>10.38</v>
      </c>
      <c r="E6" s="3">
        <f>D6</f>
        <v>10.38</v>
      </c>
      <c r="G6" s="14" t="s">
        <v>185</v>
      </c>
      <c r="I6" t="s">
        <v>28</v>
      </c>
      <c r="J6" t="s">
        <v>64</v>
      </c>
      <c r="K6" t="s">
        <v>26</v>
      </c>
      <c r="M6" t="s">
        <v>65</v>
      </c>
      <c r="N6" t="s">
        <v>28</v>
      </c>
      <c r="O6">
        <f t="shared" si="0"/>
        <v>2.0000000000001137</v>
      </c>
      <c r="P6">
        <f t="shared" si="1"/>
        <v>2.0000000000001137</v>
      </c>
      <c r="Q6">
        <f t="shared" si="2"/>
        <v>0</v>
      </c>
      <c r="R6" t="str">
        <f t="shared" si="3"/>
        <v>&lt;1 second</v>
      </c>
      <c r="S6">
        <f t="shared" si="4"/>
        <v>1</v>
      </c>
      <c r="T6">
        <f t="shared" si="5"/>
        <v>0.5</v>
      </c>
    </row>
    <row r="7" spans="1:21" x14ac:dyDescent="0.2">
      <c r="D7" s="3">
        <v>10.38</v>
      </c>
      <c r="E7" s="3">
        <v>10.4</v>
      </c>
      <c r="F7" t="s">
        <v>186</v>
      </c>
      <c r="G7" s="14" t="s">
        <v>187</v>
      </c>
      <c r="I7" t="s">
        <v>188</v>
      </c>
      <c r="J7" t="s">
        <v>188</v>
      </c>
      <c r="K7" t="s">
        <v>118</v>
      </c>
      <c r="M7" t="s">
        <v>65</v>
      </c>
      <c r="N7" t="s">
        <v>186</v>
      </c>
      <c r="O7">
        <f t="shared" si="0"/>
        <v>2.0000000000001137</v>
      </c>
      <c r="P7">
        <f t="shared" si="1"/>
        <v>4</v>
      </c>
      <c r="Q7">
        <f t="shared" si="2"/>
        <v>1.9999999999998863</v>
      </c>
      <c r="R7" t="str">
        <f t="shared" si="3"/>
        <v>&lt;3 seconds</v>
      </c>
      <c r="S7">
        <f t="shared" si="4"/>
        <v>2.9999999999998863</v>
      </c>
      <c r="T7">
        <f t="shared" si="5"/>
        <v>2.4999999999998863</v>
      </c>
    </row>
    <row r="8" spans="1:21" x14ac:dyDescent="0.2">
      <c r="D8" s="3">
        <v>10.41</v>
      </c>
      <c r="E8" s="3">
        <f>D8</f>
        <v>10.41</v>
      </c>
      <c r="G8" t="s">
        <v>23</v>
      </c>
      <c r="I8" t="s">
        <v>24</v>
      </c>
      <c r="J8" t="s">
        <v>25</v>
      </c>
      <c r="K8" t="s">
        <v>26</v>
      </c>
      <c r="M8" t="s">
        <v>27</v>
      </c>
      <c r="N8" t="s">
        <v>25</v>
      </c>
      <c r="O8">
        <f t="shared" si="0"/>
        <v>5</v>
      </c>
      <c r="P8">
        <f t="shared" si="1"/>
        <v>5</v>
      </c>
      <c r="Q8">
        <f t="shared" si="2"/>
        <v>0</v>
      </c>
      <c r="R8" t="str">
        <f t="shared" si="3"/>
        <v>&lt;1 second</v>
      </c>
      <c r="S8">
        <f t="shared" si="4"/>
        <v>1</v>
      </c>
      <c r="T8">
        <f t="shared" si="5"/>
        <v>0.5</v>
      </c>
    </row>
    <row r="9" spans="1:21" x14ac:dyDescent="0.2">
      <c r="D9" s="3">
        <v>10.41</v>
      </c>
      <c r="E9" s="3">
        <f>D9</f>
        <v>10.41</v>
      </c>
      <c r="F9" t="s">
        <v>189</v>
      </c>
      <c r="G9" s="14" t="s">
        <v>353</v>
      </c>
      <c r="I9" t="s">
        <v>28</v>
      </c>
      <c r="J9" t="s">
        <v>29</v>
      </c>
      <c r="K9" t="s">
        <v>26</v>
      </c>
      <c r="M9" t="s">
        <v>65</v>
      </c>
      <c r="N9" t="s">
        <v>28</v>
      </c>
      <c r="O9">
        <f t="shared" si="0"/>
        <v>5</v>
      </c>
      <c r="P9">
        <f t="shared" si="1"/>
        <v>5</v>
      </c>
      <c r="Q9">
        <f t="shared" si="2"/>
        <v>0</v>
      </c>
      <c r="R9" t="str">
        <f t="shared" si="3"/>
        <v>&lt;1 second</v>
      </c>
      <c r="S9">
        <f t="shared" si="4"/>
        <v>1</v>
      </c>
      <c r="T9">
        <f t="shared" si="5"/>
        <v>0.5</v>
      </c>
    </row>
    <row r="10" spans="1:21" x14ac:dyDescent="0.2">
      <c r="D10" s="3">
        <v>10.42</v>
      </c>
      <c r="E10" s="3">
        <v>10.44</v>
      </c>
      <c r="G10" t="s">
        <v>44</v>
      </c>
      <c r="I10" t="s">
        <v>45</v>
      </c>
      <c r="J10" t="s">
        <v>46</v>
      </c>
      <c r="K10" t="s">
        <v>47</v>
      </c>
      <c r="M10" t="s">
        <v>27</v>
      </c>
      <c r="N10" t="s">
        <v>28</v>
      </c>
      <c r="O10">
        <f t="shared" si="0"/>
        <v>6</v>
      </c>
      <c r="P10">
        <f t="shared" si="1"/>
        <v>8</v>
      </c>
      <c r="Q10">
        <f t="shared" si="2"/>
        <v>2</v>
      </c>
      <c r="R10" t="str">
        <f t="shared" si="3"/>
        <v>&lt;3 seconds</v>
      </c>
      <c r="S10">
        <f t="shared" si="4"/>
        <v>3</v>
      </c>
      <c r="T10">
        <f t="shared" si="5"/>
        <v>2.5</v>
      </c>
    </row>
    <row r="11" spans="1:21" x14ac:dyDescent="0.2">
      <c r="D11" s="3">
        <v>10.44</v>
      </c>
      <c r="E11" s="3">
        <v>10.44</v>
      </c>
      <c r="G11" t="s">
        <v>50</v>
      </c>
      <c r="I11" t="s">
        <v>24</v>
      </c>
      <c r="J11" t="s">
        <v>51</v>
      </c>
      <c r="K11" t="s">
        <v>26</v>
      </c>
      <c r="M11" t="s">
        <v>27</v>
      </c>
      <c r="N11" t="s">
        <v>51</v>
      </c>
      <c r="O11">
        <f t="shared" si="0"/>
        <v>8</v>
      </c>
      <c r="P11">
        <f t="shared" si="1"/>
        <v>8</v>
      </c>
      <c r="Q11">
        <f t="shared" si="2"/>
        <v>0</v>
      </c>
      <c r="R11" t="str">
        <f t="shared" si="3"/>
        <v>&lt;1 second</v>
      </c>
      <c r="S11">
        <f t="shared" si="4"/>
        <v>1</v>
      </c>
      <c r="T11">
        <f t="shared" si="5"/>
        <v>0.5</v>
      </c>
    </row>
    <row r="12" spans="1:21" x14ac:dyDescent="0.2">
      <c r="D12" s="3">
        <v>10.45</v>
      </c>
      <c r="E12" s="3">
        <v>10.45</v>
      </c>
      <c r="G12" t="s">
        <v>23</v>
      </c>
      <c r="I12" t="s">
        <v>24</v>
      </c>
      <c r="J12" t="s">
        <v>25</v>
      </c>
      <c r="K12" t="s">
        <v>26</v>
      </c>
      <c r="M12" t="s">
        <v>27</v>
      </c>
      <c r="N12" t="s">
        <v>25</v>
      </c>
      <c r="O12">
        <f t="shared" si="0"/>
        <v>8.9999999999998863</v>
      </c>
      <c r="P12">
        <f t="shared" si="1"/>
        <v>8.9999999999998863</v>
      </c>
      <c r="Q12">
        <f t="shared" si="2"/>
        <v>0</v>
      </c>
      <c r="R12" t="str">
        <f t="shared" si="3"/>
        <v>&lt;1 second</v>
      </c>
      <c r="S12">
        <f t="shared" si="4"/>
        <v>1</v>
      </c>
      <c r="T12">
        <f t="shared" si="5"/>
        <v>0.5</v>
      </c>
    </row>
    <row r="13" spans="1:21" x14ac:dyDescent="0.2">
      <c r="D13" s="3">
        <v>10.46</v>
      </c>
      <c r="E13" s="3">
        <f>D13</f>
        <v>10.46</v>
      </c>
      <c r="G13" t="s">
        <v>161</v>
      </c>
      <c r="I13" t="s">
        <v>45</v>
      </c>
      <c r="J13" t="s">
        <v>162</v>
      </c>
      <c r="K13" t="s">
        <v>91</v>
      </c>
      <c r="M13" t="s">
        <v>27</v>
      </c>
      <c r="N13" t="s">
        <v>28</v>
      </c>
      <c r="O13">
        <f t="shared" si="0"/>
        <v>10.000000000000114</v>
      </c>
      <c r="P13">
        <f t="shared" si="1"/>
        <v>10.000000000000114</v>
      </c>
      <c r="Q13">
        <f t="shared" si="2"/>
        <v>0</v>
      </c>
      <c r="R13" t="str">
        <f t="shared" si="3"/>
        <v>&lt;1 second</v>
      </c>
      <c r="S13">
        <f t="shared" si="4"/>
        <v>1</v>
      </c>
      <c r="T13">
        <f t="shared" si="5"/>
        <v>0.5</v>
      </c>
    </row>
    <row r="14" spans="1:21" x14ac:dyDescent="0.2">
      <c r="D14" s="3">
        <v>10.48</v>
      </c>
      <c r="E14" s="3">
        <v>10.5</v>
      </c>
      <c r="G14" s="11" t="s">
        <v>31</v>
      </c>
      <c r="I14" t="s">
        <v>32</v>
      </c>
      <c r="J14" t="s">
        <v>32</v>
      </c>
      <c r="K14" t="s">
        <v>26</v>
      </c>
      <c r="M14" t="s">
        <v>34</v>
      </c>
      <c r="N14" s="15" t="s">
        <v>190</v>
      </c>
      <c r="O14">
        <f t="shared" si="0"/>
        <v>12</v>
      </c>
      <c r="P14">
        <f t="shared" si="1"/>
        <v>14</v>
      </c>
      <c r="Q14">
        <f t="shared" si="2"/>
        <v>2</v>
      </c>
      <c r="R14" t="str">
        <f t="shared" si="3"/>
        <v>&lt;3 seconds</v>
      </c>
      <c r="S14">
        <f t="shared" si="4"/>
        <v>3</v>
      </c>
      <c r="T14">
        <f t="shared" si="5"/>
        <v>2.5</v>
      </c>
    </row>
    <row r="15" spans="1:21" x14ac:dyDescent="0.2">
      <c r="D15" s="3">
        <v>10.51</v>
      </c>
      <c r="E15" s="3">
        <v>10.52</v>
      </c>
      <c r="G15" t="s">
        <v>158</v>
      </c>
      <c r="I15" t="s">
        <v>45</v>
      </c>
      <c r="J15" t="s">
        <v>159</v>
      </c>
      <c r="K15" t="s">
        <v>91</v>
      </c>
      <c r="M15" t="s">
        <v>27</v>
      </c>
      <c r="N15" t="s">
        <v>28</v>
      </c>
      <c r="O15">
        <f t="shared" si="0"/>
        <v>15</v>
      </c>
      <c r="P15">
        <f t="shared" si="1"/>
        <v>16</v>
      </c>
      <c r="Q15">
        <f t="shared" si="2"/>
        <v>1</v>
      </c>
      <c r="R15" t="str">
        <f t="shared" si="3"/>
        <v>&lt;2 seconds</v>
      </c>
      <c r="S15">
        <f t="shared" si="4"/>
        <v>2</v>
      </c>
      <c r="T15">
        <f t="shared" si="5"/>
        <v>1.5</v>
      </c>
    </row>
    <row r="16" spans="1:21" x14ac:dyDescent="0.2">
      <c r="D16" s="3">
        <v>10.52</v>
      </c>
      <c r="E16" s="3">
        <f>D16</f>
        <v>10.52</v>
      </c>
      <c r="G16" t="s">
        <v>164</v>
      </c>
      <c r="I16" t="s">
        <v>45</v>
      </c>
      <c r="J16" t="s">
        <v>162</v>
      </c>
      <c r="K16" t="s">
        <v>91</v>
      </c>
      <c r="M16" t="s">
        <v>27</v>
      </c>
      <c r="N16" t="s">
        <v>28</v>
      </c>
      <c r="O16">
        <f t="shared" si="0"/>
        <v>16</v>
      </c>
      <c r="P16">
        <f t="shared" si="1"/>
        <v>16</v>
      </c>
      <c r="Q16">
        <f t="shared" si="2"/>
        <v>0</v>
      </c>
      <c r="R16" t="str">
        <f t="shared" si="3"/>
        <v>&lt;1 second</v>
      </c>
      <c r="S16">
        <f t="shared" si="4"/>
        <v>1</v>
      </c>
      <c r="T16">
        <f t="shared" si="5"/>
        <v>0.5</v>
      </c>
    </row>
    <row r="17" spans="4:20" x14ac:dyDescent="0.2">
      <c r="D17" s="3">
        <v>10.53</v>
      </c>
      <c r="E17" s="3">
        <f>D17</f>
        <v>10.53</v>
      </c>
      <c r="G17" t="s">
        <v>161</v>
      </c>
      <c r="I17" t="s">
        <v>45</v>
      </c>
      <c r="J17" t="s">
        <v>162</v>
      </c>
      <c r="K17" t="s">
        <v>91</v>
      </c>
      <c r="M17" t="s">
        <v>27</v>
      </c>
      <c r="N17" t="s">
        <v>28</v>
      </c>
      <c r="O17">
        <f t="shared" si="0"/>
        <v>16.999999999999886</v>
      </c>
      <c r="P17">
        <f t="shared" si="1"/>
        <v>16.999999999999886</v>
      </c>
      <c r="Q17">
        <f t="shared" si="2"/>
        <v>0</v>
      </c>
      <c r="R17" t="str">
        <f t="shared" si="3"/>
        <v>&lt;1 second</v>
      </c>
      <c r="S17">
        <f t="shared" si="4"/>
        <v>1</v>
      </c>
      <c r="T17">
        <f t="shared" si="5"/>
        <v>0.5</v>
      </c>
    </row>
    <row r="18" spans="4:20" x14ac:dyDescent="0.2">
      <c r="D18" s="3">
        <v>10.53</v>
      </c>
      <c r="E18" s="3">
        <v>10.55</v>
      </c>
      <c r="G18" t="s">
        <v>108</v>
      </c>
      <c r="I18" t="s">
        <v>24</v>
      </c>
      <c r="J18" t="s">
        <v>71</v>
      </c>
      <c r="K18" t="s">
        <v>26</v>
      </c>
      <c r="M18" t="s">
        <v>27</v>
      </c>
      <c r="N18" t="s">
        <v>71</v>
      </c>
      <c r="O18">
        <f t="shared" si="0"/>
        <v>16.999999999999886</v>
      </c>
      <c r="P18">
        <f t="shared" si="1"/>
        <v>19.000000000000114</v>
      </c>
      <c r="Q18">
        <f t="shared" si="2"/>
        <v>2.0000000000002274</v>
      </c>
      <c r="R18" t="str">
        <f t="shared" si="3"/>
        <v>&lt;3 seconds</v>
      </c>
      <c r="S18">
        <f t="shared" si="4"/>
        <v>3.0000000000002274</v>
      </c>
      <c r="T18">
        <f t="shared" si="5"/>
        <v>2.5000000000002274</v>
      </c>
    </row>
    <row r="19" spans="4:20" x14ac:dyDescent="0.2">
      <c r="D19" s="3">
        <v>10.55</v>
      </c>
      <c r="E19" s="3">
        <f>D19</f>
        <v>10.55</v>
      </c>
      <c r="G19" t="s">
        <v>161</v>
      </c>
      <c r="I19" t="s">
        <v>45</v>
      </c>
      <c r="J19" t="s">
        <v>162</v>
      </c>
      <c r="K19" t="s">
        <v>91</v>
      </c>
      <c r="M19" t="s">
        <v>27</v>
      </c>
      <c r="N19" t="s">
        <v>28</v>
      </c>
      <c r="O19">
        <f t="shared" si="0"/>
        <v>19.000000000000114</v>
      </c>
      <c r="P19">
        <f t="shared" si="1"/>
        <v>19.000000000000114</v>
      </c>
      <c r="Q19">
        <f t="shared" si="2"/>
        <v>0</v>
      </c>
      <c r="R19" t="str">
        <f t="shared" si="3"/>
        <v>&lt;1 second</v>
      </c>
      <c r="S19">
        <f t="shared" si="4"/>
        <v>1</v>
      </c>
      <c r="T19">
        <f t="shared" si="5"/>
        <v>0.5</v>
      </c>
    </row>
    <row r="20" spans="4:20" x14ac:dyDescent="0.2">
      <c r="D20" s="3">
        <v>10.57</v>
      </c>
      <c r="E20" s="3">
        <f>D20</f>
        <v>10.57</v>
      </c>
      <c r="G20" t="s">
        <v>158</v>
      </c>
      <c r="I20" t="s">
        <v>45</v>
      </c>
      <c r="J20" t="s">
        <v>159</v>
      </c>
      <c r="K20" t="s">
        <v>91</v>
      </c>
      <c r="M20" t="s">
        <v>27</v>
      </c>
      <c r="N20" t="s">
        <v>28</v>
      </c>
      <c r="O20">
        <f t="shared" si="0"/>
        <v>21</v>
      </c>
      <c r="P20">
        <f t="shared" si="1"/>
        <v>21</v>
      </c>
      <c r="Q20">
        <f t="shared" si="2"/>
        <v>0</v>
      </c>
      <c r="R20" t="str">
        <f t="shared" si="3"/>
        <v>&lt;1 second</v>
      </c>
      <c r="S20">
        <f t="shared" si="4"/>
        <v>1</v>
      </c>
      <c r="T20">
        <f t="shared" si="5"/>
        <v>0.5</v>
      </c>
    </row>
    <row r="21" spans="4:20" x14ac:dyDescent="0.2">
      <c r="D21" s="3">
        <v>10.58</v>
      </c>
      <c r="E21" s="3">
        <f>D21</f>
        <v>10.58</v>
      </c>
      <c r="G21" t="s">
        <v>72</v>
      </c>
      <c r="I21" t="s">
        <v>73</v>
      </c>
      <c r="J21" t="s">
        <v>73</v>
      </c>
      <c r="K21" t="s">
        <v>42</v>
      </c>
      <c r="M21" t="s">
        <v>27</v>
      </c>
      <c r="N21" t="s">
        <v>191</v>
      </c>
      <c r="O21">
        <f t="shared" si="0"/>
        <v>22</v>
      </c>
      <c r="P21">
        <f t="shared" si="1"/>
        <v>22</v>
      </c>
      <c r="Q21">
        <f t="shared" si="2"/>
        <v>0</v>
      </c>
      <c r="R21" t="str">
        <f t="shared" si="3"/>
        <v>&lt;1 second</v>
      </c>
      <c r="S21">
        <f t="shared" si="4"/>
        <v>1</v>
      </c>
      <c r="T21">
        <f t="shared" si="5"/>
        <v>0.5</v>
      </c>
    </row>
    <row r="22" spans="4:20" x14ac:dyDescent="0.2">
      <c r="D22" s="3">
        <v>10.58</v>
      </c>
      <c r="E22" s="3">
        <f>D22</f>
        <v>10.58</v>
      </c>
      <c r="G22" s="15" t="s">
        <v>75</v>
      </c>
      <c r="I22" t="s">
        <v>76</v>
      </c>
      <c r="J22" t="s">
        <v>77</v>
      </c>
      <c r="K22" t="s">
        <v>26</v>
      </c>
      <c r="M22" t="s">
        <v>27</v>
      </c>
      <c r="N22" t="s">
        <v>76</v>
      </c>
      <c r="O22">
        <f t="shared" si="0"/>
        <v>22</v>
      </c>
      <c r="P22">
        <f t="shared" si="1"/>
        <v>22</v>
      </c>
      <c r="Q22">
        <f t="shared" si="2"/>
        <v>0</v>
      </c>
      <c r="R22" t="str">
        <f t="shared" si="3"/>
        <v>&lt;1 second</v>
      </c>
      <c r="S22">
        <f t="shared" si="4"/>
        <v>1</v>
      </c>
      <c r="T22">
        <f t="shared" si="5"/>
        <v>0.5</v>
      </c>
    </row>
    <row r="23" spans="4:20" x14ac:dyDescent="0.2">
      <c r="D23" s="3">
        <v>10.58</v>
      </c>
      <c r="E23" s="3">
        <v>10.59</v>
      </c>
      <c r="F23" t="s">
        <v>192</v>
      </c>
      <c r="G23" t="s">
        <v>142</v>
      </c>
      <c r="I23" t="s">
        <v>76</v>
      </c>
      <c r="J23" t="s">
        <v>143</v>
      </c>
      <c r="K23" t="s">
        <v>26</v>
      </c>
      <c r="M23" t="s">
        <v>27</v>
      </c>
      <c r="N23" t="s">
        <v>76</v>
      </c>
      <c r="O23">
        <f t="shared" si="0"/>
        <v>22</v>
      </c>
      <c r="P23">
        <f t="shared" si="1"/>
        <v>23</v>
      </c>
      <c r="Q23">
        <f t="shared" si="2"/>
        <v>1</v>
      </c>
      <c r="R23" t="str">
        <f t="shared" si="3"/>
        <v>&lt;2 seconds</v>
      </c>
      <c r="S23">
        <f t="shared" si="4"/>
        <v>2</v>
      </c>
      <c r="T23">
        <f t="shared" si="5"/>
        <v>1.5</v>
      </c>
    </row>
    <row r="24" spans="4:20" x14ac:dyDescent="0.2">
      <c r="D24" s="3">
        <v>10.59</v>
      </c>
      <c r="E24" s="3">
        <v>11</v>
      </c>
      <c r="G24" s="14" t="s">
        <v>63</v>
      </c>
      <c r="I24" t="s">
        <v>28</v>
      </c>
      <c r="J24" t="s">
        <v>64</v>
      </c>
      <c r="K24" t="s">
        <v>26</v>
      </c>
      <c r="M24" t="s">
        <v>65</v>
      </c>
      <c r="N24" t="s">
        <v>28</v>
      </c>
      <c r="O24">
        <f t="shared" si="0"/>
        <v>23</v>
      </c>
      <c r="P24">
        <f t="shared" si="1"/>
        <v>24</v>
      </c>
      <c r="Q24">
        <f t="shared" si="2"/>
        <v>1</v>
      </c>
      <c r="R24" t="str">
        <f t="shared" si="3"/>
        <v>&lt;2 seconds</v>
      </c>
      <c r="S24">
        <f t="shared" si="4"/>
        <v>2</v>
      </c>
      <c r="T24">
        <f t="shared" si="5"/>
        <v>1.5</v>
      </c>
    </row>
    <row r="25" spans="4:20" x14ac:dyDescent="0.2">
      <c r="D25" s="3">
        <v>11</v>
      </c>
      <c r="E25" s="3">
        <f>D25</f>
        <v>11</v>
      </c>
      <c r="G25" t="s">
        <v>158</v>
      </c>
      <c r="I25" t="s">
        <v>45</v>
      </c>
      <c r="J25" t="s">
        <v>159</v>
      </c>
      <c r="K25" t="s">
        <v>91</v>
      </c>
      <c r="M25" t="s">
        <v>27</v>
      </c>
      <c r="N25" t="s">
        <v>28</v>
      </c>
      <c r="O25">
        <f t="shared" si="0"/>
        <v>24</v>
      </c>
      <c r="P25">
        <f t="shared" si="1"/>
        <v>24</v>
      </c>
      <c r="Q25">
        <f t="shared" si="2"/>
        <v>0</v>
      </c>
      <c r="R25" t="str">
        <f t="shared" si="3"/>
        <v>&lt;1 second</v>
      </c>
      <c r="S25">
        <f t="shared" si="4"/>
        <v>1</v>
      </c>
      <c r="T25">
        <f t="shared" si="5"/>
        <v>0.5</v>
      </c>
    </row>
    <row r="26" spans="4:20" x14ac:dyDescent="0.2">
      <c r="D26" s="3">
        <v>11.02</v>
      </c>
      <c r="E26" s="3">
        <v>11.03</v>
      </c>
      <c r="G26" t="s">
        <v>161</v>
      </c>
      <c r="I26" t="s">
        <v>45</v>
      </c>
      <c r="J26" t="s">
        <v>162</v>
      </c>
      <c r="K26" t="s">
        <v>91</v>
      </c>
      <c r="M26" t="s">
        <v>27</v>
      </c>
      <c r="N26" t="s">
        <v>28</v>
      </c>
      <c r="O26">
        <f t="shared" si="0"/>
        <v>26</v>
      </c>
      <c r="P26">
        <f t="shared" si="1"/>
        <v>26.999999999999886</v>
      </c>
      <c r="Q26">
        <f t="shared" si="2"/>
        <v>0.99999999999988631</v>
      </c>
      <c r="R26" t="str">
        <f t="shared" si="3"/>
        <v>&lt;2 seconds</v>
      </c>
      <c r="S26">
        <f t="shared" si="4"/>
        <v>1.9999999999998863</v>
      </c>
      <c r="T26">
        <f t="shared" si="5"/>
        <v>1.4999999999998863</v>
      </c>
    </row>
    <row r="27" spans="4:20" x14ac:dyDescent="0.2">
      <c r="D27" s="3">
        <v>11.04</v>
      </c>
      <c r="E27" s="3">
        <f t="shared" ref="E27:E35" si="6">D27</f>
        <v>11.04</v>
      </c>
      <c r="F27" s="11"/>
      <c r="G27" t="s">
        <v>50</v>
      </c>
      <c r="I27" t="s">
        <v>24</v>
      </c>
      <c r="J27" t="s">
        <v>51</v>
      </c>
      <c r="K27" t="s">
        <v>26</v>
      </c>
      <c r="M27" t="s">
        <v>27</v>
      </c>
      <c r="N27" t="s">
        <v>51</v>
      </c>
      <c r="O27">
        <f t="shared" si="0"/>
        <v>27.999999999999886</v>
      </c>
      <c r="P27">
        <f t="shared" si="1"/>
        <v>27.999999999999886</v>
      </c>
      <c r="Q27">
        <f t="shared" si="2"/>
        <v>0</v>
      </c>
      <c r="R27" t="str">
        <f t="shared" si="3"/>
        <v>&lt;1 second</v>
      </c>
      <c r="S27">
        <f t="shared" si="4"/>
        <v>1</v>
      </c>
      <c r="T27">
        <f t="shared" si="5"/>
        <v>0.5</v>
      </c>
    </row>
    <row r="28" spans="4:20" x14ac:dyDescent="0.2">
      <c r="D28" s="3">
        <v>11.04</v>
      </c>
      <c r="E28" s="3">
        <f t="shared" si="6"/>
        <v>11.04</v>
      </c>
      <c r="G28" s="14" t="s">
        <v>49</v>
      </c>
      <c r="I28" t="s">
        <v>45</v>
      </c>
      <c r="J28" t="s">
        <v>46</v>
      </c>
      <c r="K28" t="s">
        <v>47</v>
      </c>
      <c r="M28" t="s">
        <v>27</v>
      </c>
      <c r="N28" t="s">
        <v>28</v>
      </c>
      <c r="O28">
        <f t="shared" si="0"/>
        <v>27.999999999999886</v>
      </c>
      <c r="P28">
        <f t="shared" si="1"/>
        <v>27.999999999999886</v>
      </c>
      <c r="Q28">
        <f t="shared" si="2"/>
        <v>0</v>
      </c>
      <c r="R28" t="str">
        <f t="shared" si="3"/>
        <v>&lt;1 second</v>
      </c>
      <c r="S28">
        <f t="shared" si="4"/>
        <v>1</v>
      </c>
      <c r="T28">
        <f t="shared" si="5"/>
        <v>0.5</v>
      </c>
    </row>
    <row r="29" spans="4:20" x14ac:dyDescent="0.2">
      <c r="D29" s="3">
        <v>11.05</v>
      </c>
      <c r="E29" s="3">
        <f t="shared" si="6"/>
        <v>11.05</v>
      </c>
      <c r="G29" s="14" t="s">
        <v>70</v>
      </c>
      <c r="I29" t="s">
        <v>24</v>
      </c>
      <c r="J29" t="s">
        <v>71</v>
      </c>
      <c r="K29" t="s">
        <v>26</v>
      </c>
      <c r="M29" t="s">
        <v>27</v>
      </c>
      <c r="N29" t="s">
        <v>71</v>
      </c>
      <c r="O29">
        <f t="shared" si="0"/>
        <v>29.000000000000114</v>
      </c>
      <c r="P29">
        <f t="shared" si="1"/>
        <v>29.000000000000114</v>
      </c>
      <c r="Q29">
        <f t="shared" si="2"/>
        <v>0</v>
      </c>
      <c r="R29" t="str">
        <f t="shared" si="3"/>
        <v>&lt;1 second</v>
      </c>
      <c r="S29">
        <f t="shared" si="4"/>
        <v>1</v>
      </c>
      <c r="T29">
        <f t="shared" si="5"/>
        <v>0.5</v>
      </c>
    </row>
    <row r="30" spans="4:20" x14ac:dyDescent="0.2">
      <c r="D30" s="3">
        <v>11.06</v>
      </c>
      <c r="E30" s="3">
        <f t="shared" si="6"/>
        <v>11.06</v>
      </c>
      <c r="G30" t="s">
        <v>44</v>
      </c>
      <c r="I30" t="s">
        <v>45</v>
      </c>
      <c r="J30" t="s">
        <v>46</v>
      </c>
      <c r="K30" t="s">
        <v>47</v>
      </c>
      <c r="M30" t="s">
        <v>27</v>
      </c>
      <c r="N30" t="s">
        <v>28</v>
      </c>
      <c r="O30">
        <f t="shared" si="0"/>
        <v>30</v>
      </c>
      <c r="P30">
        <f t="shared" si="1"/>
        <v>30</v>
      </c>
      <c r="Q30">
        <f t="shared" si="2"/>
        <v>0</v>
      </c>
      <c r="R30" t="str">
        <f t="shared" si="3"/>
        <v>&lt;1 second</v>
      </c>
      <c r="S30">
        <f t="shared" si="4"/>
        <v>1</v>
      </c>
      <c r="T30">
        <f t="shared" si="5"/>
        <v>0.5</v>
      </c>
    </row>
    <row r="31" spans="4:20" x14ac:dyDescent="0.2">
      <c r="D31" s="3">
        <v>11.06</v>
      </c>
      <c r="E31" s="3">
        <f t="shared" si="6"/>
        <v>11.06</v>
      </c>
      <c r="G31" s="15" t="s">
        <v>75</v>
      </c>
      <c r="I31" t="s">
        <v>76</v>
      </c>
      <c r="J31" t="s">
        <v>77</v>
      </c>
      <c r="K31" t="s">
        <v>26</v>
      </c>
      <c r="M31" t="s">
        <v>27</v>
      </c>
      <c r="N31" t="s">
        <v>76</v>
      </c>
      <c r="O31">
        <f t="shared" si="0"/>
        <v>30</v>
      </c>
      <c r="P31">
        <f t="shared" si="1"/>
        <v>30</v>
      </c>
      <c r="Q31">
        <f t="shared" si="2"/>
        <v>0</v>
      </c>
      <c r="R31" t="str">
        <f t="shared" si="3"/>
        <v>&lt;1 second</v>
      </c>
      <c r="S31">
        <f t="shared" si="4"/>
        <v>1</v>
      </c>
      <c r="T31">
        <f t="shared" si="5"/>
        <v>0.5</v>
      </c>
    </row>
    <row r="32" spans="4:20" ht="16" customHeight="1" x14ac:dyDescent="0.2">
      <c r="D32" s="3">
        <v>11.07</v>
      </c>
      <c r="E32" s="3">
        <f t="shared" si="6"/>
        <v>11.07</v>
      </c>
      <c r="F32" s="9"/>
      <c r="G32" t="s">
        <v>23</v>
      </c>
      <c r="I32" t="s">
        <v>24</v>
      </c>
      <c r="J32" t="s">
        <v>25</v>
      </c>
      <c r="K32" t="s">
        <v>26</v>
      </c>
      <c r="M32" t="s">
        <v>27</v>
      </c>
      <c r="N32" t="s">
        <v>25</v>
      </c>
      <c r="O32">
        <f t="shared" si="0"/>
        <v>31</v>
      </c>
      <c r="P32">
        <f t="shared" si="1"/>
        <v>31</v>
      </c>
      <c r="Q32">
        <f t="shared" si="2"/>
        <v>0</v>
      </c>
      <c r="R32" t="str">
        <f t="shared" si="3"/>
        <v>&lt;1 second</v>
      </c>
      <c r="S32">
        <f t="shared" si="4"/>
        <v>1</v>
      </c>
      <c r="T32">
        <f t="shared" si="5"/>
        <v>0.5</v>
      </c>
    </row>
    <row r="33" spans="4:20" x14ac:dyDescent="0.2">
      <c r="D33" s="3">
        <v>11.07</v>
      </c>
      <c r="E33" s="3">
        <f t="shared" si="6"/>
        <v>11.07</v>
      </c>
      <c r="G33" t="s">
        <v>50</v>
      </c>
      <c r="I33" t="s">
        <v>24</v>
      </c>
      <c r="J33" t="s">
        <v>51</v>
      </c>
      <c r="K33" t="s">
        <v>26</v>
      </c>
      <c r="M33" t="s">
        <v>27</v>
      </c>
      <c r="N33" t="s">
        <v>51</v>
      </c>
      <c r="O33">
        <f t="shared" si="0"/>
        <v>31</v>
      </c>
      <c r="P33">
        <f t="shared" si="1"/>
        <v>31</v>
      </c>
      <c r="Q33">
        <f t="shared" si="2"/>
        <v>0</v>
      </c>
      <c r="R33" t="str">
        <f t="shared" si="3"/>
        <v>&lt;1 second</v>
      </c>
      <c r="S33">
        <f t="shared" si="4"/>
        <v>1</v>
      </c>
      <c r="T33">
        <f t="shared" si="5"/>
        <v>0.5</v>
      </c>
    </row>
    <row r="34" spans="4:20" x14ac:dyDescent="0.2">
      <c r="D34" s="3">
        <v>11.08</v>
      </c>
      <c r="E34" s="3">
        <f t="shared" si="6"/>
        <v>11.08</v>
      </c>
      <c r="G34" s="14" t="s">
        <v>182</v>
      </c>
      <c r="I34" t="s">
        <v>80</v>
      </c>
      <c r="J34" t="s">
        <v>183</v>
      </c>
      <c r="K34" t="s">
        <v>42</v>
      </c>
      <c r="M34" t="s">
        <v>27</v>
      </c>
      <c r="N34" t="s">
        <v>193</v>
      </c>
      <c r="O34">
        <f t="shared" ref="O34:O67" si="7">(INT(D34)*60+(D34-INT(D34))*100)-(INT($D$2)*60+($D$2-INT($D$2))*100)</f>
        <v>32</v>
      </c>
      <c r="P34">
        <f t="shared" ref="P34:P67" si="8">(INT(E34)*60+(E34-INT(E34))*100)-(INT($D$2)*60+($D$2-INT($D$2))*100)</f>
        <v>32</v>
      </c>
      <c r="Q34">
        <f t="shared" ref="Q34:Q65" si="9">P34-O34</f>
        <v>0</v>
      </c>
      <c r="R34" t="str">
        <f t="shared" ref="R34:R65" si="10">IF(Q34=0,"&lt;1 second","&lt;"&amp;(ROUND(Q34,2)+1)&amp;" seconds")</f>
        <v>&lt;1 second</v>
      </c>
      <c r="S34">
        <f t="shared" ref="S34:S67" si="11">Q34+1</f>
        <v>1</v>
      </c>
      <c r="T34">
        <f t="shared" ref="T34:T67" si="12">Q34+0.5</f>
        <v>0.5</v>
      </c>
    </row>
    <row r="35" spans="4:20" x14ac:dyDescent="0.2">
      <c r="D35" s="3">
        <v>11.09</v>
      </c>
      <c r="E35" s="3">
        <f t="shared" si="6"/>
        <v>11.09</v>
      </c>
      <c r="G35" t="s">
        <v>161</v>
      </c>
      <c r="I35" t="s">
        <v>45</v>
      </c>
      <c r="J35" t="s">
        <v>162</v>
      </c>
      <c r="K35" t="s">
        <v>91</v>
      </c>
      <c r="M35" t="s">
        <v>27</v>
      </c>
      <c r="N35" t="s">
        <v>28</v>
      </c>
      <c r="O35">
        <f t="shared" si="7"/>
        <v>33</v>
      </c>
      <c r="P35">
        <f t="shared" si="8"/>
        <v>33</v>
      </c>
      <c r="Q35">
        <f t="shared" si="9"/>
        <v>0</v>
      </c>
      <c r="R35" t="str">
        <f t="shared" si="10"/>
        <v>&lt;1 second</v>
      </c>
      <c r="S35">
        <f t="shared" si="11"/>
        <v>1</v>
      </c>
      <c r="T35">
        <f t="shared" si="12"/>
        <v>0.5</v>
      </c>
    </row>
    <row r="36" spans="4:20" x14ac:dyDescent="0.2">
      <c r="D36" s="3">
        <v>11.09</v>
      </c>
      <c r="E36" s="3">
        <v>11.1</v>
      </c>
      <c r="G36" s="14" t="s">
        <v>81</v>
      </c>
      <c r="I36" t="s">
        <v>82</v>
      </c>
      <c r="J36" t="s">
        <v>83</v>
      </c>
      <c r="K36" t="s">
        <v>26</v>
      </c>
      <c r="M36" t="s">
        <v>27</v>
      </c>
      <c r="N36" t="s">
        <v>82</v>
      </c>
      <c r="O36">
        <f t="shared" si="7"/>
        <v>33</v>
      </c>
      <c r="P36">
        <f t="shared" si="8"/>
        <v>34</v>
      </c>
      <c r="Q36">
        <f t="shared" si="9"/>
        <v>1</v>
      </c>
      <c r="R36" t="str">
        <f t="shared" si="10"/>
        <v>&lt;2 seconds</v>
      </c>
      <c r="S36">
        <f t="shared" si="11"/>
        <v>2</v>
      </c>
      <c r="T36">
        <f t="shared" si="12"/>
        <v>1.5</v>
      </c>
    </row>
    <row r="37" spans="4:20" x14ac:dyDescent="0.2">
      <c r="D37" s="3">
        <v>11.1</v>
      </c>
      <c r="E37" s="3">
        <f>D37</f>
        <v>11.1</v>
      </c>
      <c r="G37" t="s">
        <v>40</v>
      </c>
      <c r="I37" t="s">
        <v>41</v>
      </c>
      <c r="J37" t="s">
        <v>41</v>
      </c>
      <c r="K37" t="s">
        <v>42</v>
      </c>
      <c r="M37" t="s">
        <v>27</v>
      </c>
      <c r="N37" t="s">
        <v>41</v>
      </c>
      <c r="O37">
        <f t="shared" si="7"/>
        <v>34</v>
      </c>
      <c r="P37">
        <f t="shared" si="8"/>
        <v>34</v>
      </c>
      <c r="Q37">
        <f t="shared" si="9"/>
        <v>0</v>
      </c>
      <c r="R37" t="str">
        <f t="shared" si="10"/>
        <v>&lt;1 second</v>
      </c>
      <c r="S37">
        <f t="shared" si="11"/>
        <v>1</v>
      </c>
      <c r="T37">
        <f t="shared" si="12"/>
        <v>0.5</v>
      </c>
    </row>
    <row r="38" spans="4:20" x14ac:dyDescent="0.2">
      <c r="D38" s="3">
        <v>11.1</v>
      </c>
      <c r="E38" s="3">
        <f>D38</f>
        <v>11.1</v>
      </c>
      <c r="G38" t="s">
        <v>44</v>
      </c>
      <c r="I38" t="s">
        <v>45</v>
      </c>
      <c r="J38" t="s">
        <v>46</v>
      </c>
      <c r="K38" t="s">
        <v>47</v>
      </c>
      <c r="M38" t="s">
        <v>27</v>
      </c>
      <c r="N38" t="s">
        <v>28</v>
      </c>
      <c r="O38">
        <f t="shared" si="7"/>
        <v>34</v>
      </c>
      <c r="P38">
        <f t="shared" si="8"/>
        <v>34</v>
      </c>
      <c r="Q38">
        <f t="shared" si="9"/>
        <v>0</v>
      </c>
      <c r="R38" t="str">
        <f t="shared" si="10"/>
        <v>&lt;1 second</v>
      </c>
      <c r="S38">
        <f t="shared" si="11"/>
        <v>1</v>
      </c>
      <c r="T38">
        <f t="shared" si="12"/>
        <v>0.5</v>
      </c>
    </row>
    <row r="39" spans="4:20" x14ac:dyDescent="0.2">
      <c r="D39" s="3">
        <v>11.1</v>
      </c>
      <c r="E39" s="3">
        <f>D39</f>
        <v>11.1</v>
      </c>
      <c r="G39" t="s">
        <v>23</v>
      </c>
      <c r="I39" t="s">
        <v>24</v>
      </c>
      <c r="J39" t="s">
        <v>25</v>
      </c>
      <c r="K39" t="s">
        <v>26</v>
      </c>
      <c r="M39" t="s">
        <v>27</v>
      </c>
      <c r="N39" t="s">
        <v>25</v>
      </c>
      <c r="O39">
        <f t="shared" si="7"/>
        <v>34</v>
      </c>
      <c r="P39">
        <f t="shared" si="8"/>
        <v>34</v>
      </c>
      <c r="Q39">
        <f t="shared" si="9"/>
        <v>0</v>
      </c>
      <c r="R39" t="str">
        <f t="shared" si="10"/>
        <v>&lt;1 second</v>
      </c>
      <c r="S39">
        <f t="shared" si="11"/>
        <v>1</v>
      </c>
      <c r="T39">
        <f t="shared" si="12"/>
        <v>0.5</v>
      </c>
    </row>
    <row r="40" spans="4:20" x14ac:dyDescent="0.2">
      <c r="D40" s="3">
        <v>11.11</v>
      </c>
      <c r="E40" s="3">
        <f>D40</f>
        <v>11.11</v>
      </c>
      <c r="G40" t="s">
        <v>50</v>
      </c>
      <c r="I40" t="s">
        <v>24</v>
      </c>
      <c r="J40" t="s">
        <v>51</v>
      </c>
      <c r="K40" t="s">
        <v>26</v>
      </c>
      <c r="M40" t="s">
        <v>27</v>
      </c>
      <c r="N40" t="s">
        <v>51</v>
      </c>
      <c r="O40">
        <f t="shared" si="7"/>
        <v>35</v>
      </c>
      <c r="P40">
        <f t="shared" si="8"/>
        <v>35</v>
      </c>
      <c r="Q40">
        <f t="shared" si="9"/>
        <v>0</v>
      </c>
      <c r="R40" t="str">
        <f t="shared" si="10"/>
        <v>&lt;1 second</v>
      </c>
      <c r="S40">
        <f t="shared" si="11"/>
        <v>1</v>
      </c>
      <c r="T40">
        <f t="shared" si="12"/>
        <v>0.5</v>
      </c>
    </row>
    <row r="41" spans="4:20" x14ac:dyDescent="0.2">
      <c r="D41" s="3">
        <v>11.12</v>
      </c>
      <c r="E41" s="3">
        <v>11.13</v>
      </c>
      <c r="G41" s="14" t="s">
        <v>194</v>
      </c>
      <c r="I41" s="19" t="s">
        <v>80</v>
      </c>
      <c r="J41" s="19" t="s">
        <v>195</v>
      </c>
      <c r="K41" s="19" t="s">
        <v>26</v>
      </c>
      <c r="L41" s="19"/>
      <c r="M41" s="19" t="s">
        <v>27</v>
      </c>
      <c r="N41" s="19" t="s">
        <v>196</v>
      </c>
      <c r="O41">
        <f t="shared" si="7"/>
        <v>35.999999999999886</v>
      </c>
      <c r="P41">
        <f t="shared" si="8"/>
        <v>37.000000000000114</v>
      </c>
      <c r="Q41">
        <f t="shared" si="9"/>
        <v>1.0000000000002274</v>
      </c>
      <c r="R41" t="str">
        <f t="shared" si="10"/>
        <v>&lt;2 seconds</v>
      </c>
      <c r="S41">
        <f t="shared" si="11"/>
        <v>2.0000000000002274</v>
      </c>
      <c r="T41">
        <f t="shared" si="12"/>
        <v>1.5000000000002274</v>
      </c>
    </row>
    <row r="42" spans="4:20" x14ac:dyDescent="0.2">
      <c r="D42" s="3">
        <v>11.14</v>
      </c>
      <c r="E42" s="3">
        <f t="shared" ref="E42:E50" si="13">D42</f>
        <v>11.14</v>
      </c>
      <c r="G42" t="s">
        <v>109</v>
      </c>
      <c r="I42" s="19" t="s">
        <v>80</v>
      </c>
      <c r="J42" s="19" t="s">
        <v>110</v>
      </c>
      <c r="K42" s="19" t="s">
        <v>42</v>
      </c>
      <c r="L42" s="19"/>
      <c r="M42" s="19" t="s">
        <v>27</v>
      </c>
      <c r="N42" s="19" t="s">
        <v>111</v>
      </c>
      <c r="O42">
        <f t="shared" si="7"/>
        <v>38</v>
      </c>
      <c r="P42">
        <f t="shared" si="8"/>
        <v>38</v>
      </c>
      <c r="Q42">
        <f t="shared" si="9"/>
        <v>0</v>
      </c>
      <c r="R42" t="str">
        <f t="shared" si="10"/>
        <v>&lt;1 second</v>
      </c>
      <c r="S42">
        <f t="shared" si="11"/>
        <v>1</v>
      </c>
      <c r="T42">
        <f t="shared" si="12"/>
        <v>0.5</v>
      </c>
    </row>
    <row r="43" spans="4:20" x14ac:dyDescent="0.2">
      <c r="D43" s="3">
        <v>11.15</v>
      </c>
      <c r="E43" s="3">
        <f t="shared" si="13"/>
        <v>11.15</v>
      </c>
      <c r="G43" t="s">
        <v>161</v>
      </c>
      <c r="I43" t="s">
        <v>45</v>
      </c>
      <c r="J43" t="s">
        <v>162</v>
      </c>
      <c r="K43" t="s">
        <v>91</v>
      </c>
      <c r="M43" t="s">
        <v>27</v>
      </c>
      <c r="N43" t="s">
        <v>28</v>
      </c>
      <c r="O43">
        <f t="shared" si="7"/>
        <v>39</v>
      </c>
      <c r="P43">
        <f t="shared" si="8"/>
        <v>39</v>
      </c>
      <c r="Q43">
        <f t="shared" si="9"/>
        <v>0</v>
      </c>
      <c r="R43" t="str">
        <f t="shared" si="10"/>
        <v>&lt;1 second</v>
      </c>
      <c r="S43">
        <f t="shared" si="11"/>
        <v>1</v>
      </c>
      <c r="T43">
        <f t="shared" si="12"/>
        <v>0.5</v>
      </c>
    </row>
    <row r="44" spans="4:20" x14ac:dyDescent="0.2">
      <c r="D44" s="3">
        <v>11.15</v>
      </c>
      <c r="E44" s="3">
        <f t="shared" si="13"/>
        <v>11.15</v>
      </c>
      <c r="F44" t="s">
        <v>197</v>
      </c>
      <c r="G44" s="11" t="s">
        <v>31</v>
      </c>
      <c r="I44" t="s">
        <v>32</v>
      </c>
      <c r="J44" t="s">
        <v>110</v>
      </c>
      <c r="K44" t="s">
        <v>26</v>
      </c>
      <c r="M44" t="s">
        <v>34</v>
      </c>
      <c r="N44" t="s">
        <v>197</v>
      </c>
      <c r="O44">
        <f t="shared" si="7"/>
        <v>39</v>
      </c>
      <c r="P44">
        <f t="shared" si="8"/>
        <v>39</v>
      </c>
      <c r="Q44">
        <f t="shared" si="9"/>
        <v>0</v>
      </c>
      <c r="R44" t="str">
        <f t="shared" si="10"/>
        <v>&lt;1 second</v>
      </c>
      <c r="S44">
        <f t="shared" si="11"/>
        <v>1</v>
      </c>
      <c r="T44">
        <f t="shared" si="12"/>
        <v>0.5</v>
      </c>
    </row>
    <row r="45" spans="4:20" x14ac:dyDescent="0.2">
      <c r="D45" s="3">
        <v>11.16</v>
      </c>
      <c r="E45" s="3">
        <f t="shared" si="13"/>
        <v>11.16</v>
      </c>
      <c r="F45" t="s">
        <v>198</v>
      </c>
      <c r="G45" s="11" t="s">
        <v>31</v>
      </c>
      <c r="I45" t="s">
        <v>32</v>
      </c>
      <c r="J45" t="s">
        <v>110</v>
      </c>
      <c r="K45" t="s">
        <v>26</v>
      </c>
      <c r="M45" t="s">
        <v>34</v>
      </c>
      <c r="N45" t="s">
        <v>199</v>
      </c>
      <c r="O45">
        <f t="shared" si="7"/>
        <v>40</v>
      </c>
      <c r="P45">
        <f t="shared" si="8"/>
        <v>40</v>
      </c>
      <c r="Q45">
        <f t="shared" si="9"/>
        <v>0</v>
      </c>
      <c r="R45" t="str">
        <f t="shared" si="10"/>
        <v>&lt;1 second</v>
      </c>
      <c r="S45">
        <f t="shared" si="11"/>
        <v>1</v>
      </c>
      <c r="T45">
        <f t="shared" si="12"/>
        <v>0.5</v>
      </c>
    </row>
    <row r="46" spans="4:20" x14ac:dyDescent="0.2">
      <c r="D46" s="3">
        <v>11.17</v>
      </c>
      <c r="E46" s="3">
        <f t="shared" si="13"/>
        <v>11.17</v>
      </c>
      <c r="F46" t="s">
        <v>200</v>
      </c>
      <c r="G46" s="11" t="s">
        <v>31</v>
      </c>
      <c r="I46" t="s">
        <v>32</v>
      </c>
      <c r="J46" t="s">
        <v>110</v>
      </c>
      <c r="K46" t="s">
        <v>26</v>
      </c>
      <c r="M46" t="s">
        <v>34</v>
      </c>
      <c r="N46" t="s">
        <v>200</v>
      </c>
      <c r="O46">
        <f t="shared" si="7"/>
        <v>41</v>
      </c>
      <c r="P46">
        <f t="shared" si="8"/>
        <v>41</v>
      </c>
      <c r="Q46">
        <f t="shared" si="9"/>
        <v>0</v>
      </c>
      <c r="R46" t="str">
        <f t="shared" si="10"/>
        <v>&lt;1 second</v>
      </c>
      <c r="S46">
        <f t="shared" si="11"/>
        <v>1</v>
      </c>
      <c r="T46">
        <f t="shared" si="12"/>
        <v>0.5</v>
      </c>
    </row>
    <row r="47" spans="4:20" x14ac:dyDescent="0.2">
      <c r="D47" s="3">
        <v>11.18</v>
      </c>
      <c r="E47" s="3">
        <f t="shared" si="13"/>
        <v>11.18</v>
      </c>
      <c r="G47" s="11" t="s">
        <v>31</v>
      </c>
      <c r="I47" s="19" t="s">
        <v>82</v>
      </c>
      <c r="J47" s="19" t="s">
        <v>125</v>
      </c>
      <c r="K47" s="19" t="s">
        <v>26</v>
      </c>
      <c r="L47" s="19"/>
      <c r="M47" s="19" t="s">
        <v>34</v>
      </c>
      <c r="N47" s="19" t="s">
        <v>126</v>
      </c>
      <c r="O47">
        <f t="shared" si="7"/>
        <v>42</v>
      </c>
      <c r="P47">
        <f t="shared" si="8"/>
        <v>42</v>
      </c>
      <c r="Q47">
        <f t="shared" si="9"/>
        <v>0</v>
      </c>
      <c r="R47" t="str">
        <f t="shared" si="10"/>
        <v>&lt;1 second</v>
      </c>
      <c r="S47">
        <f t="shared" si="11"/>
        <v>1</v>
      </c>
      <c r="T47">
        <f t="shared" si="12"/>
        <v>0.5</v>
      </c>
    </row>
    <row r="48" spans="4:20" x14ac:dyDescent="0.2">
      <c r="D48" s="3">
        <v>11.19</v>
      </c>
      <c r="E48" s="3">
        <f t="shared" si="13"/>
        <v>11.19</v>
      </c>
      <c r="G48" s="11" t="s">
        <v>31</v>
      </c>
      <c r="I48" s="19" t="s">
        <v>82</v>
      </c>
      <c r="J48" s="19" t="s">
        <v>125</v>
      </c>
      <c r="K48" s="19" t="s">
        <v>26</v>
      </c>
      <c r="L48" s="19"/>
      <c r="M48" s="19" t="s">
        <v>34</v>
      </c>
      <c r="N48" s="19" t="s">
        <v>126</v>
      </c>
      <c r="O48">
        <f t="shared" si="7"/>
        <v>43</v>
      </c>
      <c r="P48">
        <f t="shared" si="8"/>
        <v>43</v>
      </c>
      <c r="Q48">
        <f t="shared" si="9"/>
        <v>0</v>
      </c>
      <c r="R48" t="str">
        <f t="shared" si="10"/>
        <v>&lt;1 second</v>
      </c>
      <c r="S48">
        <f t="shared" si="11"/>
        <v>1</v>
      </c>
      <c r="T48">
        <f t="shared" si="12"/>
        <v>0.5</v>
      </c>
    </row>
    <row r="49" spans="4:20" x14ac:dyDescent="0.2">
      <c r="D49" s="3">
        <v>11.2</v>
      </c>
      <c r="E49" s="3">
        <f t="shared" si="13"/>
        <v>11.2</v>
      </c>
      <c r="G49" t="s">
        <v>23</v>
      </c>
      <c r="I49" t="s">
        <v>24</v>
      </c>
      <c r="J49" t="s">
        <v>25</v>
      </c>
      <c r="K49" t="s">
        <v>26</v>
      </c>
      <c r="M49" t="s">
        <v>27</v>
      </c>
      <c r="N49" t="s">
        <v>25</v>
      </c>
      <c r="O49">
        <f t="shared" si="7"/>
        <v>43.999999999999886</v>
      </c>
      <c r="P49">
        <f t="shared" si="8"/>
        <v>43.999999999999886</v>
      </c>
      <c r="Q49">
        <f t="shared" si="9"/>
        <v>0</v>
      </c>
      <c r="R49" t="str">
        <f t="shared" si="10"/>
        <v>&lt;1 second</v>
      </c>
      <c r="S49">
        <f t="shared" si="11"/>
        <v>1</v>
      </c>
      <c r="T49">
        <f t="shared" si="12"/>
        <v>0.5</v>
      </c>
    </row>
    <row r="50" spans="4:20" x14ac:dyDescent="0.2">
      <c r="D50" s="3">
        <v>11.2</v>
      </c>
      <c r="E50" s="3">
        <f t="shared" si="13"/>
        <v>11.2</v>
      </c>
      <c r="G50" t="s">
        <v>50</v>
      </c>
      <c r="I50" t="s">
        <v>24</v>
      </c>
      <c r="J50" t="s">
        <v>51</v>
      </c>
      <c r="K50" t="s">
        <v>26</v>
      </c>
      <c r="M50" t="s">
        <v>27</v>
      </c>
      <c r="N50" t="s">
        <v>51</v>
      </c>
      <c r="O50">
        <f t="shared" si="7"/>
        <v>43.999999999999886</v>
      </c>
      <c r="P50">
        <f t="shared" si="8"/>
        <v>43.999999999999886</v>
      </c>
      <c r="Q50">
        <f t="shared" si="9"/>
        <v>0</v>
      </c>
      <c r="R50" t="str">
        <f t="shared" si="10"/>
        <v>&lt;1 second</v>
      </c>
      <c r="S50">
        <f t="shared" si="11"/>
        <v>1</v>
      </c>
      <c r="T50">
        <f t="shared" si="12"/>
        <v>0.5</v>
      </c>
    </row>
    <row r="51" spans="4:20" x14ac:dyDescent="0.2">
      <c r="D51" s="3">
        <v>11.2</v>
      </c>
      <c r="E51" s="3">
        <v>11.21</v>
      </c>
      <c r="G51" s="15" t="s">
        <v>75</v>
      </c>
      <c r="I51" t="s">
        <v>76</v>
      </c>
      <c r="J51" t="s">
        <v>77</v>
      </c>
      <c r="K51" t="s">
        <v>26</v>
      </c>
      <c r="M51" t="s">
        <v>27</v>
      </c>
      <c r="N51" t="s">
        <v>76</v>
      </c>
      <c r="O51">
        <f t="shared" si="7"/>
        <v>43.999999999999886</v>
      </c>
      <c r="P51">
        <f t="shared" si="8"/>
        <v>45.000000000000114</v>
      </c>
      <c r="Q51">
        <f t="shared" si="9"/>
        <v>1.0000000000002274</v>
      </c>
      <c r="R51" t="str">
        <f t="shared" si="10"/>
        <v>&lt;2 seconds</v>
      </c>
      <c r="S51">
        <f t="shared" si="11"/>
        <v>2.0000000000002274</v>
      </c>
      <c r="T51">
        <f t="shared" si="12"/>
        <v>1.5000000000002274</v>
      </c>
    </row>
    <row r="52" spans="4:20" x14ac:dyDescent="0.2">
      <c r="D52" s="3">
        <v>11.21</v>
      </c>
      <c r="E52" s="3">
        <f>D52</f>
        <v>11.21</v>
      </c>
      <c r="F52" t="s">
        <v>43</v>
      </c>
      <c r="G52" t="s">
        <v>44</v>
      </c>
      <c r="I52" t="s">
        <v>45</v>
      </c>
      <c r="J52" t="s">
        <v>46</v>
      </c>
      <c r="K52" t="s">
        <v>47</v>
      </c>
      <c r="M52" t="s">
        <v>27</v>
      </c>
      <c r="N52" t="s">
        <v>28</v>
      </c>
      <c r="O52">
        <f t="shared" si="7"/>
        <v>45.000000000000114</v>
      </c>
      <c r="P52">
        <f t="shared" si="8"/>
        <v>45.000000000000114</v>
      </c>
      <c r="Q52">
        <f t="shared" si="9"/>
        <v>0</v>
      </c>
      <c r="R52" t="str">
        <f t="shared" si="10"/>
        <v>&lt;1 second</v>
      </c>
      <c r="S52">
        <f t="shared" si="11"/>
        <v>1</v>
      </c>
      <c r="T52">
        <f t="shared" si="12"/>
        <v>0.5</v>
      </c>
    </row>
    <row r="53" spans="4:20" x14ac:dyDescent="0.2">
      <c r="D53" s="3">
        <v>11.22</v>
      </c>
      <c r="E53" s="3">
        <f>D53</f>
        <v>11.22</v>
      </c>
      <c r="G53" t="s">
        <v>50</v>
      </c>
      <c r="I53" t="s">
        <v>24</v>
      </c>
      <c r="J53" t="s">
        <v>51</v>
      </c>
      <c r="K53" t="s">
        <v>26</v>
      </c>
      <c r="M53" t="s">
        <v>27</v>
      </c>
      <c r="N53" t="s">
        <v>51</v>
      </c>
      <c r="O53">
        <f t="shared" si="7"/>
        <v>46.000000000000114</v>
      </c>
      <c r="P53">
        <f t="shared" si="8"/>
        <v>46.000000000000114</v>
      </c>
      <c r="Q53">
        <f t="shared" si="9"/>
        <v>0</v>
      </c>
      <c r="R53" t="str">
        <f t="shared" si="10"/>
        <v>&lt;1 second</v>
      </c>
      <c r="S53">
        <f t="shared" si="11"/>
        <v>1</v>
      </c>
      <c r="T53">
        <f t="shared" si="12"/>
        <v>0.5</v>
      </c>
    </row>
    <row r="54" spans="4:20" x14ac:dyDescent="0.2">
      <c r="D54" s="3">
        <v>11.23</v>
      </c>
      <c r="E54" s="3">
        <f>D54</f>
        <v>11.23</v>
      </c>
      <c r="F54" t="s">
        <v>201</v>
      </c>
      <c r="G54" t="s">
        <v>109</v>
      </c>
      <c r="I54" s="19" t="s">
        <v>80</v>
      </c>
      <c r="J54" s="19" t="s">
        <v>110</v>
      </c>
      <c r="K54" s="19" t="s">
        <v>42</v>
      </c>
      <c r="L54" s="19"/>
      <c r="M54" s="19" t="s">
        <v>27</v>
      </c>
      <c r="N54" s="19" t="s">
        <v>111</v>
      </c>
      <c r="O54">
        <f t="shared" si="7"/>
        <v>47</v>
      </c>
      <c r="P54">
        <f t="shared" si="8"/>
        <v>47</v>
      </c>
      <c r="Q54">
        <f t="shared" si="9"/>
        <v>0</v>
      </c>
      <c r="R54" t="str">
        <f t="shared" si="10"/>
        <v>&lt;1 second</v>
      </c>
      <c r="S54">
        <f t="shared" si="11"/>
        <v>1</v>
      </c>
      <c r="T54">
        <f t="shared" si="12"/>
        <v>0.5</v>
      </c>
    </row>
    <row r="55" spans="4:20" x14ac:dyDescent="0.2">
      <c r="D55" s="3">
        <v>11.23</v>
      </c>
      <c r="E55" s="3">
        <f>D55</f>
        <v>11.23</v>
      </c>
      <c r="F55" t="s">
        <v>202</v>
      </c>
      <c r="G55" t="s">
        <v>164</v>
      </c>
      <c r="I55" t="s">
        <v>45</v>
      </c>
      <c r="J55" t="s">
        <v>162</v>
      </c>
      <c r="K55" t="s">
        <v>91</v>
      </c>
      <c r="M55" t="s">
        <v>27</v>
      </c>
      <c r="N55" t="s">
        <v>28</v>
      </c>
      <c r="O55">
        <f t="shared" si="7"/>
        <v>47</v>
      </c>
      <c r="P55">
        <f t="shared" si="8"/>
        <v>47</v>
      </c>
      <c r="Q55">
        <f t="shared" si="9"/>
        <v>0</v>
      </c>
      <c r="R55" t="str">
        <f t="shared" si="10"/>
        <v>&lt;1 second</v>
      </c>
      <c r="S55">
        <f t="shared" si="11"/>
        <v>1</v>
      </c>
      <c r="T55">
        <f t="shared" si="12"/>
        <v>0.5</v>
      </c>
    </row>
    <row r="56" spans="4:20" x14ac:dyDescent="0.2">
      <c r="D56" s="3">
        <v>11.24</v>
      </c>
      <c r="E56" s="3">
        <f>D56</f>
        <v>11.24</v>
      </c>
      <c r="F56" t="s">
        <v>203</v>
      </c>
      <c r="G56" s="11" t="s">
        <v>31</v>
      </c>
      <c r="I56" t="s">
        <v>32</v>
      </c>
      <c r="J56" t="s">
        <v>110</v>
      </c>
      <c r="K56" t="s">
        <v>26</v>
      </c>
      <c r="M56" t="s">
        <v>34</v>
      </c>
      <c r="N56" t="s">
        <v>204</v>
      </c>
      <c r="O56">
        <f t="shared" si="7"/>
        <v>48</v>
      </c>
      <c r="P56">
        <f t="shared" si="8"/>
        <v>48</v>
      </c>
      <c r="Q56">
        <f t="shared" si="9"/>
        <v>0</v>
      </c>
      <c r="R56" t="str">
        <f t="shared" si="10"/>
        <v>&lt;1 second</v>
      </c>
      <c r="S56">
        <f t="shared" si="11"/>
        <v>1</v>
      </c>
      <c r="T56">
        <f t="shared" si="12"/>
        <v>0.5</v>
      </c>
    </row>
    <row r="57" spans="4:20" x14ac:dyDescent="0.2">
      <c r="D57" s="3">
        <v>11.24</v>
      </c>
      <c r="E57" s="3">
        <v>11.25</v>
      </c>
      <c r="F57" t="s">
        <v>198</v>
      </c>
      <c r="G57" s="11" t="s">
        <v>31</v>
      </c>
      <c r="I57" t="s">
        <v>32</v>
      </c>
      <c r="J57" t="s">
        <v>110</v>
      </c>
      <c r="K57" t="s">
        <v>26</v>
      </c>
      <c r="M57" t="s">
        <v>34</v>
      </c>
      <c r="N57" t="s">
        <v>204</v>
      </c>
      <c r="O57">
        <f t="shared" si="7"/>
        <v>48</v>
      </c>
      <c r="P57">
        <f t="shared" si="8"/>
        <v>49</v>
      </c>
      <c r="Q57">
        <f t="shared" si="9"/>
        <v>1</v>
      </c>
      <c r="R57" t="str">
        <f t="shared" si="10"/>
        <v>&lt;2 seconds</v>
      </c>
      <c r="S57">
        <f t="shared" si="11"/>
        <v>2</v>
      </c>
      <c r="T57">
        <f t="shared" si="12"/>
        <v>1.5</v>
      </c>
    </row>
    <row r="58" spans="4:20" x14ac:dyDescent="0.2">
      <c r="D58" s="3">
        <v>11.25</v>
      </c>
      <c r="E58" s="3">
        <v>11.26</v>
      </c>
      <c r="F58" t="s">
        <v>205</v>
      </c>
      <c r="G58" s="11" t="s">
        <v>31</v>
      </c>
      <c r="I58" t="s">
        <v>32</v>
      </c>
      <c r="J58" t="s">
        <v>110</v>
      </c>
      <c r="K58" t="s">
        <v>26</v>
      </c>
      <c r="M58" t="s">
        <v>34</v>
      </c>
      <c r="N58" t="s">
        <v>204</v>
      </c>
      <c r="O58">
        <f t="shared" si="7"/>
        <v>49</v>
      </c>
      <c r="P58">
        <f t="shared" si="8"/>
        <v>50</v>
      </c>
      <c r="Q58">
        <f t="shared" si="9"/>
        <v>1</v>
      </c>
      <c r="R58" t="str">
        <f t="shared" si="10"/>
        <v>&lt;2 seconds</v>
      </c>
      <c r="S58">
        <f t="shared" si="11"/>
        <v>2</v>
      </c>
      <c r="T58">
        <f t="shared" si="12"/>
        <v>1.5</v>
      </c>
    </row>
    <row r="59" spans="4:20" x14ac:dyDescent="0.2">
      <c r="D59" s="3">
        <v>11.27</v>
      </c>
      <c r="E59" s="3">
        <f>D59</f>
        <v>11.27</v>
      </c>
      <c r="F59" t="s">
        <v>206</v>
      </c>
      <c r="G59" s="11" t="s">
        <v>31</v>
      </c>
      <c r="I59" s="19" t="s">
        <v>82</v>
      </c>
      <c r="J59" s="19" t="s">
        <v>125</v>
      </c>
      <c r="K59" s="19" t="s">
        <v>26</v>
      </c>
      <c r="L59" s="19"/>
      <c r="M59" s="19" t="s">
        <v>34</v>
      </c>
      <c r="N59" s="19" t="s">
        <v>126</v>
      </c>
      <c r="O59">
        <f t="shared" si="7"/>
        <v>51</v>
      </c>
      <c r="P59">
        <f t="shared" si="8"/>
        <v>51</v>
      </c>
      <c r="Q59">
        <f t="shared" si="9"/>
        <v>0</v>
      </c>
      <c r="R59" t="str">
        <f t="shared" si="10"/>
        <v>&lt;1 second</v>
      </c>
      <c r="S59">
        <f t="shared" si="11"/>
        <v>1</v>
      </c>
      <c r="T59">
        <f t="shared" si="12"/>
        <v>0.5</v>
      </c>
    </row>
    <row r="60" spans="4:20" x14ac:dyDescent="0.2">
      <c r="D60" s="3">
        <v>11.27</v>
      </c>
      <c r="E60" s="3">
        <v>11.28</v>
      </c>
      <c r="F60" t="s">
        <v>207</v>
      </c>
      <c r="G60" s="11" t="s">
        <v>31</v>
      </c>
      <c r="I60" s="19" t="s">
        <v>82</v>
      </c>
      <c r="J60" s="19" t="s">
        <v>125</v>
      </c>
      <c r="K60" s="19" t="s">
        <v>26</v>
      </c>
      <c r="L60" s="19"/>
      <c r="M60" s="19" t="s">
        <v>34</v>
      </c>
      <c r="N60" s="19" t="s">
        <v>126</v>
      </c>
      <c r="O60">
        <f t="shared" si="7"/>
        <v>51</v>
      </c>
      <c r="P60">
        <f t="shared" si="8"/>
        <v>51.999999999999886</v>
      </c>
      <c r="Q60">
        <f t="shared" si="9"/>
        <v>0.99999999999988631</v>
      </c>
      <c r="R60" t="str">
        <f t="shared" si="10"/>
        <v>&lt;2 seconds</v>
      </c>
      <c r="S60">
        <f t="shared" si="11"/>
        <v>1.9999999999998863</v>
      </c>
      <c r="T60">
        <f t="shared" si="12"/>
        <v>1.4999999999998863</v>
      </c>
    </row>
    <row r="61" spans="4:20" x14ac:dyDescent="0.2">
      <c r="D61" s="3">
        <v>11.29</v>
      </c>
      <c r="E61" s="3">
        <f>D61</f>
        <v>11.29</v>
      </c>
      <c r="F61" t="s">
        <v>208</v>
      </c>
      <c r="G61" t="s">
        <v>68</v>
      </c>
      <c r="N61" t="s">
        <v>113</v>
      </c>
      <c r="O61">
        <f t="shared" si="7"/>
        <v>52.999999999999886</v>
      </c>
      <c r="P61">
        <f t="shared" si="8"/>
        <v>52.999999999999886</v>
      </c>
      <c r="Q61">
        <f t="shared" si="9"/>
        <v>0</v>
      </c>
      <c r="R61" t="str">
        <f t="shared" si="10"/>
        <v>&lt;1 second</v>
      </c>
      <c r="S61">
        <f t="shared" si="11"/>
        <v>1</v>
      </c>
      <c r="T61">
        <f t="shared" si="12"/>
        <v>0.5</v>
      </c>
    </row>
    <row r="62" spans="4:20" x14ac:dyDescent="0.2">
      <c r="D62" s="3">
        <v>11.3</v>
      </c>
      <c r="E62" s="3">
        <v>11.31</v>
      </c>
      <c r="F62" t="s">
        <v>209</v>
      </c>
      <c r="G62" t="s">
        <v>84</v>
      </c>
      <c r="I62" t="s">
        <v>76</v>
      </c>
      <c r="J62" t="s">
        <v>85</v>
      </c>
      <c r="K62" t="s">
        <v>26</v>
      </c>
      <c r="M62" t="s">
        <v>27</v>
      </c>
      <c r="N62" t="s">
        <v>76</v>
      </c>
      <c r="O62">
        <f t="shared" si="7"/>
        <v>54.000000000000114</v>
      </c>
      <c r="P62">
        <f t="shared" si="8"/>
        <v>55</v>
      </c>
      <c r="Q62">
        <f t="shared" si="9"/>
        <v>0.99999999999988631</v>
      </c>
      <c r="R62" t="str">
        <f t="shared" si="10"/>
        <v>&lt;2 seconds</v>
      </c>
      <c r="S62">
        <f t="shared" si="11"/>
        <v>1.9999999999998863</v>
      </c>
      <c r="T62">
        <f t="shared" si="12"/>
        <v>1.4999999999998863</v>
      </c>
    </row>
    <row r="63" spans="4:20" x14ac:dyDescent="0.2">
      <c r="D63" s="3">
        <v>11.32</v>
      </c>
      <c r="E63" s="3">
        <f>D63</f>
        <v>11.32</v>
      </c>
      <c r="F63" t="s">
        <v>210</v>
      </c>
      <c r="G63" t="s">
        <v>50</v>
      </c>
      <c r="I63" t="s">
        <v>24</v>
      </c>
      <c r="J63" t="s">
        <v>51</v>
      </c>
      <c r="K63" t="s">
        <v>26</v>
      </c>
      <c r="M63" t="s">
        <v>27</v>
      </c>
      <c r="N63" t="s">
        <v>76</v>
      </c>
      <c r="O63">
        <f t="shared" si="7"/>
        <v>56</v>
      </c>
      <c r="P63">
        <f t="shared" si="8"/>
        <v>56</v>
      </c>
      <c r="Q63">
        <f t="shared" si="9"/>
        <v>0</v>
      </c>
      <c r="R63" t="str">
        <f t="shared" si="10"/>
        <v>&lt;1 second</v>
      </c>
      <c r="S63">
        <f t="shared" si="11"/>
        <v>1</v>
      </c>
      <c r="T63">
        <f t="shared" si="12"/>
        <v>0.5</v>
      </c>
    </row>
    <row r="64" spans="4:20" x14ac:dyDescent="0.2">
      <c r="D64" s="3">
        <v>11.33</v>
      </c>
      <c r="E64" s="3">
        <f>D64</f>
        <v>11.33</v>
      </c>
      <c r="F64" t="s">
        <v>211</v>
      </c>
      <c r="G64" s="11" t="s">
        <v>31</v>
      </c>
      <c r="I64" t="s">
        <v>32</v>
      </c>
      <c r="J64" t="s">
        <v>110</v>
      </c>
      <c r="K64" t="s">
        <v>26</v>
      </c>
      <c r="M64" t="s">
        <v>34</v>
      </c>
      <c r="N64" t="s">
        <v>204</v>
      </c>
      <c r="O64">
        <f t="shared" si="7"/>
        <v>57</v>
      </c>
      <c r="P64">
        <f t="shared" si="8"/>
        <v>57</v>
      </c>
      <c r="Q64">
        <f t="shared" si="9"/>
        <v>0</v>
      </c>
      <c r="R64" t="str">
        <f t="shared" si="10"/>
        <v>&lt;1 second</v>
      </c>
      <c r="S64">
        <f t="shared" si="11"/>
        <v>1</v>
      </c>
      <c r="T64">
        <f t="shared" si="12"/>
        <v>0.5</v>
      </c>
    </row>
    <row r="65" spans="4:20" x14ac:dyDescent="0.2">
      <c r="D65" s="3">
        <v>11.34</v>
      </c>
      <c r="E65" s="3">
        <v>11.35</v>
      </c>
      <c r="F65" t="s">
        <v>198</v>
      </c>
      <c r="G65" s="11" t="s">
        <v>31</v>
      </c>
      <c r="I65" t="s">
        <v>32</v>
      </c>
      <c r="J65" t="s">
        <v>110</v>
      </c>
      <c r="K65" t="s">
        <v>26</v>
      </c>
      <c r="M65" t="s">
        <v>34</v>
      </c>
      <c r="N65" t="s">
        <v>204</v>
      </c>
      <c r="O65">
        <f t="shared" si="7"/>
        <v>58</v>
      </c>
      <c r="P65">
        <f t="shared" si="8"/>
        <v>59</v>
      </c>
      <c r="Q65">
        <f t="shared" si="9"/>
        <v>1</v>
      </c>
      <c r="R65" t="str">
        <f t="shared" si="10"/>
        <v>&lt;2 seconds</v>
      </c>
      <c r="S65">
        <f t="shared" si="11"/>
        <v>2</v>
      </c>
      <c r="T65">
        <f t="shared" si="12"/>
        <v>1.5</v>
      </c>
    </row>
    <row r="66" spans="4:20" x14ac:dyDescent="0.2">
      <c r="D66" s="3">
        <v>11.35</v>
      </c>
      <c r="E66" s="3">
        <f>D66</f>
        <v>11.35</v>
      </c>
      <c r="F66" t="s">
        <v>205</v>
      </c>
      <c r="G66" s="11" t="s">
        <v>31</v>
      </c>
      <c r="I66" t="s">
        <v>32</v>
      </c>
      <c r="J66" t="s">
        <v>110</v>
      </c>
      <c r="K66" t="s">
        <v>26</v>
      </c>
      <c r="M66" t="s">
        <v>34</v>
      </c>
      <c r="N66" t="s">
        <v>204</v>
      </c>
      <c r="O66">
        <f t="shared" si="7"/>
        <v>59</v>
      </c>
      <c r="P66">
        <f t="shared" si="8"/>
        <v>59</v>
      </c>
      <c r="Q66">
        <f t="shared" ref="Q66:Q67" si="14">P66-O66</f>
        <v>0</v>
      </c>
      <c r="R66" t="str">
        <f t="shared" ref="R66:R67" si="15">IF(Q66=0,"&lt;1 second","&lt;"&amp;(ROUND(Q66,2)+1)&amp;" seconds")</f>
        <v>&lt;1 second</v>
      </c>
      <c r="S66">
        <f t="shared" si="11"/>
        <v>1</v>
      </c>
      <c r="T66">
        <f t="shared" si="12"/>
        <v>0.5</v>
      </c>
    </row>
    <row r="67" spans="4:20" x14ac:dyDescent="0.2">
      <c r="D67" s="3">
        <v>11.36</v>
      </c>
      <c r="E67" s="3">
        <f>D67</f>
        <v>11.36</v>
      </c>
      <c r="F67" t="s">
        <v>206</v>
      </c>
      <c r="G67" s="11" t="s">
        <v>31</v>
      </c>
      <c r="I67" s="19" t="s">
        <v>82</v>
      </c>
      <c r="J67" s="19" t="s">
        <v>125</v>
      </c>
      <c r="K67" s="19" t="s">
        <v>26</v>
      </c>
      <c r="L67" s="19"/>
      <c r="M67" s="19" t="s">
        <v>34</v>
      </c>
      <c r="N67" s="19" t="s">
        <v>126</v>
      </c>
      <c r="O67">
        <f t="shared" si="7"/>
        <v>60</v>
      </c>
      <c r="P67">
        <f t="shared" si="8"/>
        <v>60</v>
      </c>
      <c r="Q67">
        <f t="shared" si="14"/>
        <v>0</v>
      </c>
      <c r="R67" t="str">
        <f t="shared" si="15"/>
        <v>&lt;1 second</v>
      </c>
      <c r="S67">
        <f t="shared" si="11"/>
        <v>1</v>
      </c>
      <c r="T67">
        <f t="shared" si="12"/>
        <v>0.5</v>
      </c>
    </row>
  </sheetData>
  <dataValidations count="3">
    <dataValidation type="list" allowBlank="1" showErrorMessage="1" errorTitle="Invalid value" error="Please select a valid value." sqref="H2:H1000" xr:uid="{00000000-0002-0000-0300-000003000000}">
      <formula1>"EASY,MEDIUM,HARD,VERY HARD"</formula1>
    </dataValidation>
    <dataValidation type="list" allowBlank="1" showErrorMessage="1" errorTitle="Invalid value" error="Please select a valid value." sqref="K2:L1000" xr:uid="{00000000-0002-0000-0300-000004000000}">
      <formula1>"cursor,keyboard,gesture,complex gesture,multi_step,multi_input"</formula1>
    </dataValidation>
    <dataValidation type="list" allowBlank="1" showErrorMessage="1" errorTitle="Invalid value" error="Please select a valid value." sqref="M2:M1000" xr:uid="{00000000-0002-0000-0300-000006000000}">
      <formula1>"canvas,gui,layers panel"</formula1>
    </dataValidation>
  </dataValidations>
  <hyperlinks>
    <hyperlink ref="B2" r:id="rId1" xr:uid="{00000000-0004-0000-03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300-000002000000}">
          <x14:formula1>
            <xm:f>_lists!$C$2:$C$1000</xm:f>
          </x14:formula1>
          <xm:sqref>J2:J1000</xm:sqref>
        </x14:dataValidation>
        <x14:dataValidation type="list" allowBlank="1" showErrorMessage="1" errorTitle="Invalid value" error="Please select a valid value." xr:uid="{00000000-0002-0000-0300-000001000000}">
          <x14:formula1>
            <xm:f>_lists!$B$2:$B$1000</xm:f>
          </x14:formula1>
          <xm:sqref>I2:I1000</xm:sqref>
        </x14:dataValidation>
        <x14:dataValidation type="list" allowBlank="1" showErrorMessage="1" errorTitle="Invalid value" error="Please select a valid value." xr:uid="{00000000-0002-0000-0300-000000000000}">
          <x14:formula1>
            <xm:f>_lists!$A$2:$A$1000</xm:f>
          </x14:formula1>
          <xm:sqref>G2:G1000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81"/>
  <sheetViews>
    <sheetView zoomScale="191"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2" bestFit="1" customWidth="1"/>
    <col min="7" max="7" width="75.1640625" bestFit="1" customWidth="1"/>
    <col min="8" max="8" width="5.33203125" customWidth="1"/>
    <col min="9" max="9" width="26.83203125" customWidth="1"/>
    <col min="10" max="10" width="30.5" bestFit="1" customWidth="1"/>
    <col min="11" max="11" width="15" customWidth="1"/>
    <col min="12" max="12" width="7"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212</v>
      </c>
      <c r="B2" s="10" t="s">
        <v>213</v>
      </c>
      <c r="C2" t="s">
        <v>214</v>
      </c>
      <c r="D2" s="3">
        <v>61.28</v>
      </c>
      <c r="E2">
        <v>61.29</v>
      </c>
      <c r="F2" t="s">
        <v>215</v>
      </c>
      <c r="G2" t="s">
        <v>70</v>
      </c>
      <c r="I2" t="s">
        <v>24</v>
      </c>
      <c r="J2" t="s">
        <v>71</v>
      </c>
      <c r="K2" t="s">
        <v>26</v>
      </c>
      <c r="M2" t="s">
        <v>27</v>
      </c>
      <c r="O2">
        <f t="shared" ref="O2:O37" si="0">(INT(D2)*60+(D2-INT(D2))*100)-(INT($D$2)*60+($D$2-INT($D$2))*100)</f>
        <v>0</v>
      </c>
      <c r="P2">
        <f t="shared" ref="P2:P37" si="1">(INT(E2)*60+(E2-INT(E2))*100)-(INT($D$2)*60+($D$2-INT($D$2))*100)</f>
        <v>1</v>
      </c>
      <c r="Q2">
        <f t="shared" ref="Q2:Q37" si="2">P2-O2</f>
        <v>1</v>
      </c>
      <c r="R2" t="str">
        <f t="shared" ref="R2:R37" si="3">IF(Q2=0,"&lt;1 second","&lt;"&amp;(ROUND(Q2,2)+1)&amp;" seconds")</f>
        <v>&lt;2 seconds</v>
      </c>
      <c r="S2">
        <f t="shared" ref="S2:S37" si="4">Q2+1</f>
        <v>2</v>
      </c>
      <c r="T2">
        <f t="shared" ref="T2:T37" si="5">Q2+0.5</f>
        <v>1.5</v>
      </c>
    </row>
    <row r="3" spans="1:21" x14ac:dyDescent="0.2">
      <c r="D3" s="3">
        <v>61.3</v>
      </c>
      <c r="E3" s="3">
        <f t="shared" ref="E3:E14" si="6">D3</f>
        <v>61.3</v>
      </c>
      <c r="F3" t="s">
        <v>216</v>
      </c>
      <c r="G3" s="14" t="s">
        <v>217</v>
      </c>
      <c r="I3" t="s">
        <v>32</v>
      </c>
      <c r="J3" t="s">
        <v>32</v>
      </c>
      <c r="K3" t="s">
        <v>26</v>
      </c>
      <c r="M3" t="s">
        <v>34</v>
      </c>
      <c r="O3">
        <f t="shared" si="0"/>
        <v>1.9999999999995453</v>
      </c>
      <c r="P3">
        <f t="shared" si="1"/>
        <v>1.9999999999995453</v>
      </c>
      <c r="Q3">
        <f t="shared" si="2"/>
        <v>0</v>
      </c>
      <c r="R3" t="str">
        <f t="shared" si="3"/>
        <v>&lt;1 second</v>
      </c>
      <c r="S3">
        <f t="shared" si="4"/>
        <v>1</v>
      </c>
      <c r="T3">
        <f t="shared" si="5"/>
        <v>0.5</v>
      </c>
    </row>
    <row r="4" spans="1:21" x14ac:dyDescent="0.2">
      <c r="D4" s="3">
        <v>61.31</v>
      </c>
      <c r="E4" s="3">
        <f t="shared" si="6"/>
        <v>61.31</v>
      </c>
      <c r="F4" t="s">
        <v>41</v>
      </c>
      <c r="G4" t="s">
        <v>40</v>
      </c>
      <c r="I4" t="s">
        <v>41</v>
      </c>
      <c r="J4" t="s">
        <v>41</v>
      </c>
      <c r="K4" t="s">
        <v>42</v>
      </c>
      <c r="M4" t="s">
        <v>27</v>
      </c>
      <c r="O4">
        <f t="shared" si="0"/>
        <v>3</v>
      </c>
      <c r="P4">
        <f t="shared" si="1"/>
        <v>3</v>
      </c>
      <c r="Q4">
        <f t="shared" si="2"/>
        <v>0</v>
      </c>
      <c r="R4" t="str">
        <f t="shared" si="3"/>
        <v>&lt;1 second</v>
      </c>
      <c r="S4">
        <f t="shared" si="4"/>
        <v>1</v>
      </c>
      <c r="T4">
        <f t="shared" si="5"/>
        <v>0.5</v>
      </c>
    </row>
    <row r="5" spans="1:21" x14ac:dyDescent="0.2">
      <c r="D5" s="3">
        <v>61.32</v>
      </c>
      <c r="E5" s="3">
        <f t="shared" si="6"/>
        <v>61.32</v>
      </c>
      <c r="F5" t="s">
        <v>25</v>
      </c>
      <c r="G5" t="s">
        <v>23</v>
      </c>
      <c r="I5" t="s">
        <v>24</v>
      </c>
      <c r="J5" t="s">
        <v>25</v>
      </c>
      <c r="K5" t="s">
        <v>26</v>
      </c>
      <c r="M5" t="s">
        <v>27</v>
      </c>
      <c r="O5">
        <f t="shared" si="0"/>
        <v>4</v>
      </c>
      <c r="P5">
        <f t="shared" si="1"/>
        <v>4</v>
      </c>
      <c r="Q5">
        <f t="shared" si="2"/>
        <v>0</v>
      </c>
      <c r="R5" t="str">
        <f t="shared" si="3"/>
        <v>&lt;1 second</v>
      </c>
      <c r="S5">
        <f t="shared" si="4"/>
        <v>1</v>
      </c>
      <c r="T5">
        <f t="shared" si="5"/>
        <v>0.5</v>
      </c>
    </row>
    <row r="6" spans="1:21" x14ac:dyDescent="0.2">
      <c r="D6" s="3">
        <v>61.33</v>
      </c>
      <c r="E6" s="3">
        <f t="shared" si="6"/>
        <v>61.33</v>
      </c>
      <c r="F6" t="s">
        <v>218</v>
      </c>
      <c r="G6" t="s">
        <v>353</v>
      </c>
      <c r="I6" t="s">
        <v>28</v>
      </c>
      <c r="J6" t="s">
        <v>29</v>
      </c>
      <c r="K6" t="s">
        <v>26</v>
      </c>
      <c r="M6" t="s">
        <v>27</v>
      </c>
      <c r="O6">
        <f t="shared" si="0"/>
        <v>5</v>
      </c>
      <c r="P6">
        <f t="shared" si="1"/>
        <v>5</v>
      </c>
      <c r="Q6">
        <f t="shared" si="2"/>
        <v>0</v>
      </c>
      <c r="R6" t="str">
        <f t="shared" si="3"/>
        <v>&lt;1 second</v>
      </c>
      <c r="S6">
        <f t="shared" si="4"/>
        <v>1</v>
      </c>
      <c r="T6">
        <f t="shared" si="5"/>
        <v>0.5</v>
      </c>
    </row>
    <row r="7" spans="1:21" x14ac:dyDescent="0.2">
      <c r="D7" s="3">
        <v>61.33</v>
      </c>
      <c r="E7" s="3">
        <f t="shared" si="6"/>
        <v>61.33</v>
      </c>
      <c r="F7" t="s">
        <v>218</v>
      </c>
      <c r="G7" t="s">
        <v>353</v>
      </c>
      <c r="I7" t="s">
        <v>28</v>
      </c>
      <c r="J7" t="s">
        <v>29</v>
      </c>
      <c r="K7" t="s">
        <v>26</v>
      </c>
      <c r="M7" t="s">
        <v>27</v>
      </c>
      <c r="O7">
        <f t="shared" si="0"/>
        <v>5</v>
      </c>
      <c r="P7">
        <f t="shared" si="1"/>
        <v>5</v>
      </c>
      <c r="Q7">
        <f t="shared" si="2"/>
        <v>0</v>
      </c>
      <c r="R7" t="str">
        <f t="shared" si="3"/>
        <v>&lt;1 second</v>
      </c>
      <c r="S7">
        <f t="shared" si="4"/>
        <v>1</v>
      </c>
      <c r="T7">
        <f t="shared" si="5"/>
        <v>0.5</v>
      </c>
    </row>
    <row r="8" spans="1:21" x14ac:dyDescent="0.2">
      <c r="D8" s="3">
        <v>61.33</v>
      </c>
      <c r="E8" s="3">
        <f t="shared" si="6"/>
        <v>61.33</v>
      </c>
      <c r="F8" t="s">
        <v>219</v>
      </c>
      <c r="G8" t="s">
        <v>50</v>
      </c>
      <c r="I8" t="s">
        <v>24</v>
      </c>
      <c r="J8" t="s">
        <v>51</v>
      </c>
      <c r="K8" t="s">
        <v>26</v>
      </c>
      <c r="M8" t="s">
        <v>27</v>
      </c>
      <c r="O8">
        <f t="shared" si="0"/>
        <v>5</v>
      </c>
      <c r="P8">
        <f t="shared" si="1"/>
        <v>5</v>
      </c>
      <c r="Q8">
        <f t="shared" si="2"/>
        <v>0</v>
      </c>
      <c r="R8" t="str">
        <f t="shared" si="3"/>
        <v>&lt;1 second</v>
      </c>
      <c r="S8">
        <f t="shared" si="4"/>
        <v>1</v>
      </c>
      <c r="T8">
        <f t="shared" si="5"/>
        <v>0.5</v>
      </c>
    </row>
    <row r="9" spans="1:21" x14ac:dyDescent="0.2">
      <c r="D9" s="3">
        <v>61.34</v>
      </c>
      <c r="E9" s="3">
        <f t="shared" si="6"/>
        <v>61.34</v>
      </c>
      <c r="F9" t="s">
        <v>220</v>
      </c>
      <c r="G9" t="s">
        <v>108</v>
      </c>
      <c r="I9" t="s">
        <v>24</v>
      </c>
      <c r="J9" t="s">
        <v>71</v>
      </c>
      <c r="K9" t="s">
        <v>26</v>
      </c>
      <c r="M9" t="s">
        <v>27</v>
      </c>
      <c r="O9">
        <f t="shared" si="0"/>
        <v>6.0000000000004547</v>
      </c>
      <c r="P9">
        <f t="shared" si="1"/>
        <v>6.0000000000004547</v>
      </c>
      <c r="Q9">
        <f t="shared" si="2"/>
        <v>0</v>
      </c>
      <c r="R9" t="str">
        <f t="shared" si="3"/>
        <v>&lt;1 second</v>
      </c>
      <c r="S9">
        <f t="shared" si="4"/>
        <v>1</v>
      </c>
      <c r="T9">
        <f t="shared" si="5"/>
        <v>0.5</v>
      </c>
    </row>
    <row r="10" spans="1:21" x14ac:dyDescent="0.2">
      <c r="D10" s="3">
        <v>61.36</v>
      </c>
      <c r="E10" s="3">
        <f t="shared" si="6"/>
        <v>61.36</v>
      </c>
      <c r="F10" t="s">
        <v>216</v>
      </c>
      <c r="G10" s="14" t="s">
        <v>217</v>
      </c>
      <c r="I10" t="s">
        <v>32</v>
      </c>
      <c r="J10" t="s">
        <v>32</v>
      </c>
      <c r="K10" t="s">
        <v>42</v>
      </c>
      <c r="M10" t="s">
        <v>27</v>
      </c>
      <c r="O10">
        <f t="shared" si="0"/>
        <v>8</v>
      </c>
      <c r="P10">
        <f t="shared" si="1"/>
        <v>8</v>
      </c>
      <c r="Q10">
        <f t="shared" si="2"/>
        <v>0</v>
      </c>
      <c r="R10" t="str">
        <f t="shared" si="3"/>
        <v>&lt;1 second</v>
      </c>
      <c r="S10">
        <f t="shared" si="4"/>
        <v>1</v>
      </c>
      <c r="T10">
        <f t="shared" si="5"/>
        <v>0.5</v>
      </c>
    </row>
    <row r="11" spans="1:21" x14ac:dyDescent="0.2">
      <c r="D11" s="3">
        <v>61.38</v>
      </c>
      <c r="E11" s="3">
        <f t="shared" si="6"/>
        <v>61.38</v>
      </c>
      <c r="F11" t="s">
        <v>221</v>
      </c>
      <c r="G11" s="11" t="s">
        <v>31</v>
      </c>
      <c r="I11" t="s">
        <v>32</v>
      </c>
      <c r="J11" t="s">
        <v>32</v>
      </c>
      <c r="K11" t="s">
        <v>26</v>
      </c>
      <c r="M11" t="s">
        <v>34</v>
      </c>
      <c r="O11">
        <f t="shared" si="0"/>
        <v>10.000000000000455</v>
      </c>
      <c r="P11">
        <f t="shared" si="1"/>
        <v>10.000000000000455</v>
      </c>
      <c r="Q11">
        <f t="shared" si="2"/>
        <v>0</v>
      </c>
      <c r="R11" t="str">
        <f t="shared" si="3"/>
        <v>&lt;1 second</v>
      </c>
      <c r="S11">
        <f t="shared" si="4"/>
        <v>1</v>
      </c>
      <c r="T11">
        <f t="shared" si="5"/>
        <v>0.5</v>
      </c>
    </row>
    <row r="12" spans="1:21" x14ac:dyDescent="0.2">
      <c r="D12" s="3">
        <v>61.39</v>
      </c>
      <c r="E12" s="3">
        <f t="shared" si="6"/>
        <v>61.39</v>
      </c>
      <c r="F12" t="s">
        <v>222</v>
      </c>
      <c r="G12" s="14" t="s">
        <v>223</v>
      </c>
      <c r="I12" t="s">
        <v>24</v>
      </c>
      <c r="J12" t="s">
        <v>51</v>
      </c>
      <c r="K12" t="s">
        <v>26</v>
      </c>
      <c r="M12" t="s">
        <v>65</v>
      </c>
      <c r="O12">
        <f t="shared" si="0"/>
        <v>11</v>
      </c>
      <c r="P12">
        <f t="shared" si="1"/>
        <v>11</v>
      </c>
      <c r="Q12">
        <f t="shared" si="2"/>
        <v>0</v>
      </c>
      <c r="R12" t="str">
        <f t="shared" si="3"/>
        <v>&lt;1 second</v>
      </c>
      <c r="S12">
        <f t="shared" si="4"/>
        <v>1</v>
      </c>
      <c r="T12">
        <f t="shared" si="5"/>
        <v>0.5</v>
      </c>
    </row>
    <row r="13" spans="1:21" x14ac:dyDescent="0.2">
      <c r="D13" s="3">
        <v>61.41</v>
      </c>
      <c r="E13" s="3">
        <f t="shared" si="6"/>
        <v>61.41</v>
      </c>
      <c r="F13" t="s">
        <v>224</v>
      </c>
      <c r="G13" s="14" t="s">
        <v>225</v>
      </c>
      <c r="I13" t="s">
        <v>226</v>
      </c>
      <c r="J13" t="s">
        <v>226</v>
      </c>
      <c r="K13" t="s">
        <v>42</v>
      </c>
      <c r="M13" t="s">
        <v>27</v>
      </c>
      <c r="O13">
        <f t="shared" si="0"/>
        <v>12.999999999999545</v>
      </c>
      <c r="P13">
        <f t="shared" si="1"/>
        <v>12.999999999999545</v>
      </c>
      <c r="Q13">
        <f t="shared" si="2"/>
        <v>0</v>
      </c>
      <c r="R13" t="str">
        <f t="shared" si="3"/>
        <v>&lt;1 second</v>
      </c>
      <c r="S13">
        <f t="shared" si="4"/>
        <v>1</v>
      </c>
      <c r="T13">
        <f t="shared" si="5"/>
        <v>0.5</v>
      </c>
    </row>
    <row r="14" spans="1:21" x14ac:dyDescent="0.2">
      <c r="D14" s="3">
        <v>61.42</v>
      </c>
      <c r="E14" s="3">
        <f t="shared" si="6"/>
        <v>61.42</v>
      </c>
      <c r="F14" t="s">
        <v>222</v>
      </c>
      <c r="G14" s="14" t="s">
        <v>223</v>
      </c>
      <c r="I14" t="s">
        <v>24</v>
      </c>
      <c r="J14" t="s">
        <v>51</v>
      </c>
      <c r="K14" t="s">
        <v>26</v>
      </c>
      <c r="M14" t="s">
        <v>65</v>
      </c>
      <c r="O14">
        <f t="shared" si="0"/>
        <v>14</v>
      </c>
      <c r="P14">
        <f t="shared" si="1"/>
        <v>14</v>
      </c>
      <c r="Q14">
        <f t="shared" si="2"/>
        <v>0</v>
      </c>
      <c r="R14" t="str">
        <f t="shared" si="3"/>
        <v>&lt;1 second</v>
      </c>
      <c r="S14">
        <f t="shared" si="4"/>
        <v>1</v>
      </c>
      <c r="T14">
        <f t="shared" si="5"/>
        <v>0.5</v>
      </c>
    </row>
    <row r="15" spans="1:21" x14ac:dyDescent="0.2">
      <c r="D15" s="3">
        <v>61.43</v>
      </c>
      <c r="E15" s="3">
        <v>61.44</v>
      </c>
      <c r="F15" t="s">
        <v>227</v>
      </c>
      <c r="G15" t="s">
        <v>84</v>
      </c>
      <c r="I15" t="s">
        <v>76</v>
      </c>
      <c r="J15" t="s">
        <v>85</v>
      </c>
      <c r="K15" t="s">
        <v>26</v>
      </c>
      <c r="M15" t="s">
        <v>27</v>
      </c>
      <c r="O15">
        <f t="shared" si="0"/>
        <v>15</v>
      </c>
      <c r="P15">
        <f t="shared" si="1"/>
        <v>16</v>
      </c>
      <c r="Q15">
        <f t="shared" si="2"/>
        <v>1</v>
      </c>
      <c r="R15" t="str">
        <f t="shared" si="3"/>
        <v>&lt;2 seconds</v>
      </c>
      <c r="S15">
        <f t="shared" si="4"/>
        <v>2</v>
      </c>
      <c r="T15">
        <f t="shared" si="5"/>
        <v>1.5</v>
      </c>
    </row>
    <row r="16" spans="1:21" x14ac:dyDescent="0.2">
      <c r="D16" s="3">
        <v>61.45</v>
      </c>
      <c r="E16" s="3">
        <f>D16</f>
        <v>61.45</v>
      </c>
      <c r="F16" t="s">
        <v>224</v>
      </c>
      <c r="G16" s="14" t="s">
        <v>225</v>
      </c>
      <c r="I16" t="s">
        <v>226</v>
      </c>
      <c r="J16" t="s">
        <v>226</v>
      </c>
      <c r="K16" t="s">
        <v>42</v>
      </c>
      <c r="M16" t="s">
        <v>27</v>
      </c>
      <c r="O16">
        <f t="shared" si="0"/>
        <v>17.000000000000455</v>
      </c>
      <c r="P16">
        <f t="shared" si="1"/>
        <v>17.000000000000455</v>
      </c>
      <c r="Q16">
        <f t="shared" si="2"/>
        <v>0</v>
      </c>
      <c r="R16" t="str">
        <f t="shared" si="3"/>
        <v>&lt;1 second</v>
      </c>
      <c r="S16">
        <f t="shared" si="4"/>
        <v>1</v>
      </c>
      <c r="T16">
        <f t="shared" si="5"/>
        <v>0.5</v>
      </c>
    </row>
    <row r="17" spans="4:20" x14ac:dyDescent="0.2">
      <c r="D17" s="3">
        <v>61.45</v>
      </c>
      <c r="E17" s="3">
        <v>61.46</v>
      </c>
      <c r="F17" t="s">
        <v>228</v>
      </c>
      <c r="G17" t="s">
        <v>49</v>
      </c>
      <c r="I17" t="s">
        <v>45</v>
      </c>
      <c r="J17" t="s">
        <v>46</v>
      </c>
      <c r="K17" t="s">
        <v>47</v>
      </c>
      <c r="M17" t="s">
        <v>27</v>
      </c>
      <c r="O17">
        <f t="shared" si="0"/>
        <v>17.000000000000455</v>
      </c>
      <c r="P17">
        <f t="shared" si="1"/>
        <v>18</v>
      </c>
      <c r="Q17">
        <f t="shared" si="2"/>
        <v>0.99999999999954525</v>
      </c>
      <c r="R17" t="str">
        <f t="shared" si="3"/>
        <v>&lt;2 seconds</v>
      </c>
      <c r="S17">
        <f t="shared" si="4"/>
        <v>1.9999999999995453</v>
      </c>
      <c r="T17">
        <f t="shared" si="5"/>
        <v>1.4999999999995453</v>
      </c>
    </row>
    <row r="18" spans="4:20" x14ac:dyDescent="0.2">
      <c r="D18" s="3">
        <v>61.46</v>
      </c>
      <c r="E18" s="3">
        <f t="shared" ref="E18:E24" si="7">D18</f>
        <v>61.46</v>
      </c>
      <c r="F18" t="s">
        <v>229</v>
      </c>
      <c r="G18" s="14" t="s">
        <v>230</v>
      </c>
      <c r="I18" t="s">
        <v>45</v>
      </c>
      <c r="J18" t="s">
        <v>90</v>
      </c>
      <c r="K18" t="s">
        <v>91</v>
      </c>
      <c r="M18" t="s">
        <v>27</v>
      </c>
      <c r="O18">
        <f t="shared" si="0"/>
        <v>18</v>
      </c>
      <c r="P18">
        <f t="shared" si="1"/>
        <v>18</v>
      </c>
      <c r="Q18">
        <f t="shared" si="2"/>
        <v>0</v>
      </c>
      <c r="R18" t="str">
        <f t="shared" si="3"/>
        <v>&lt;1 second</v>
      </c>
      <c r="S18">
        <f t="shared" si="4"/>
        <v>1</v>
      </c>
      <c r="T18">
        <f t="shared" si="5"/>
        <v>0.5</v>
      </c>
    </row>
    <row r="19" spans="4:20" x14ac:dyDescent="0.2">
      <c r="D19" s="3">
        <v>61.47</v>
      </c>
      <c r="E19" s="3">
        <f t="shared" si="7"/>
        <v>61.47</v>
      </c>
      <c r="F19" t="s">
        <v>231</v>
      </c>
      <c r="G19" s="14" t="s">
        <v>232</v>
      </c>
      <c r="I19" t="s">
        <v>45</v>
      </c>
      <c r="J19" t="s">
        <v>90</v>
      </c>
      <c r="K19" t="s">
        <v>91</v>
      </c>
      <c r="M19" t="s">
        <v>27</v>
      </c>
      <c r="O19">
        <f t="shared" si="0"/>
        <v>19</v>
      </c>
      <c r="P19">
        <f t="shared" si="1"/>
        <v>19</v>
      </c>
      <c r="Q19">
        <f t="shared" si="2"/>
        <v>0</v>
      </c>
      <c r="R19" t="str">
        <f t="shared" si="3"/>
        <v>&lt;1 second</v>
      </c>
      <c r="S19">
        <f t="shared" si="4"/>
        <v>1</v>
      </c>
      <c r="T19">
        <f t="shared" si="5"/>
        <v>0.5</v>
      </c>
    </row>
    <row r="20" spans="4:20" x14ac:dyDescent="0.2">
      <c r="D20" s="3">
        <v>61.48</v>
      </c>
      <c r="E20" s="3">
        <f t="shared" si="7"/>
        <v>61.48</v>
      </c>
      <c r="F20" t="s">
        <v>233</v>
      </c>
      <c r="G20" s="14" t="s">
        <v>234</v>
      </c>
      <c r="I20" t="s">
        <v>56</v>
      </c>
      <c r="J20" t="s">
        <v>235</v>
      </c>
      <c r="K20" t="s">
        <v>26</v>
      </c>
      <c r="M20" t="s">
        <v>27</v>
      </c>
      <c r="O20">
        <f t="shared" si="0"/>
        <v>19.999999999999545</v>
      </c>
      <c r="P20">
        <f t="shared" si="1"/>
        <v>19.999999999999545</v>
      </c>
      <c r="Q20">
        <f t="shared" si="2"/>
        <v>0</v>
      </c>
      <c r="R20" t="str">
        <f t="shared" si="3"/>
        <v>&lt;1 second</v>
      </c>
      <c r="S20">
        <f t="shared" si="4"/>
        <v>1</v>
      </c>
      <c r="T20">
        <f t="shared" si="5"/>
        <v>0.5</v>
      </c>
    </row>
    <row r="21" spans="4:20" x14ac:dyDescent="0.2">
      <c r="D21" s="3">
        <v>61.49</v>
      </c>
      <c r="E21" s="3">
        <f t="shared" si="7"/>
        <v>61.49</v>
      </c>
      <c r="F21" t="s">
        <v>236</v>
      </c>
      <c r="G21" s="14" t="s">
        <v>237</v>
      </c>
      <c r="I21" t="s">
        <v>73</v>
      </c>
      <c r="J21" t="s">
        <v>73</v>
      </c>
      <c r="K21" t="s">
        <v>42</v>
      </c>
      <c r="M21" t="s">
        <v>27</v>
      </c>
      <c r="O21">
        <f t="shared" si="0"/>
        <v>21</v>
      </c>
      <c r="P21">
        <f t="shared" si="1"/>
        <v>21</v>
      </c>
      <c r="Q21">
        <f t="shared" si="2"/>
        <v>0</v>
      </c>
      <c r="R21" t="str">
        <f t="shared" si="3"/>
        <v>&lt;1 second</v>
      </c>
      <c r="S21">
        <f t="shared" si="4"/>
        <v>1</v>
      </c>
      <c r="T21">
        <f t="shared" si="5"/>
        <v>0.5</v>
      </c>
    </row>
    <row r="22" spans="4:20" x14ac:dyDescent="0.2">
      <c r="D22" s="3">
        <v>61.49</v>
      </c>
      <c r="E22" s="3">
        <f t="shared" si="7"/>
        <v>61.49</v>
      </c>
      <c r="F22" t="s">
        <v>238</v>
      </c>
      <c r="G22" t="s">
        <v>50</v>
      </c>
      <c r="I22" t="s">
        <v>24</v>
      </c>
      <c r="J22" t="s">
        <v>51</v>
      </c>
      <c r="K22" t="s">
        <v>26</v>
      </c>
      <c r="M22" t="s">
        <v>27</v>
      </c>
      <c r="O22">
        <f t="shared" si="0"/>
        <v>21</v>
      </c>
      <c r="P22">
        <f t="shared" si="1"/>
        <v>21</v>
      </c>
      <c r="Q22">
        <f t="shared" si="2"/>
        <v>0</v>
      </c>
      <c r="R22" t="str">
        <f t="shared" si="3"/>
        <v>&lt;1 second</v>
      </c>
      <c r="S22">
        <f t="shared" si="4"/>
        <v>1</v>
      </c>
      <c r="T22">
        <f t="shared" si="5"/>
        <v>0.5</v>
      </c>
    </row>
    <row r="23" spans="4:20" x14ac:dyDescent="0.2">
      <c r="D23" s="3">
        <v>61.5</v>
      </c>
      <c r="E23" s="3">
        <f t="shared" si="7"/>
        <v>61.5</v>
      </c>
      <c r="F23" t="s">
        <v>239</v>
      </c>
      <c r="G23" t="s">
        <v>23</v>
      </c>
      <c r="I23" t="s">
        <v>24</v>
      </c>
      <c r="J23" t="s">
        <v>25</v>
      </c>
      <c r="K23" t="s">
        <v>26</v>
      </c>
      <c r="M23" t="s">
        <v>27</v>
      </c>
      <c r="O23">
        <f t="shared" si="0"/>
        <v>22</v>
      </c>
      <c r="P23">
        <f t="shared" si="1"/>
        <v>22</v>
      </c>
      <c r="Q23">
        <f t="shared" si="2"/>
        <v>0</v>
      </c>
      <c r="R23" t="str">
        <f t="shared" si="3"/>
        <v>&lt;1 second</v>
      </c>
      <c r="S23">
        <f t="shared" si="4"/>
        <v>1</v>
      </c>
      <c r="T23">
        <f t="shared" si="5"/>
        <v>0.5</v>
      </c>
    </row>
    <row r="24" spans="4:20" x14ac:dyDescent="0.2">
      <c r="D24" s="3">
        <v>61.5</v>
      </c>
      <c r="E24" s="3">
        <f t="shared" si="7"/>
        <v>61.5</v>
      </c>
      <c r="F24" t="s">
        <v>238</v>
      </c>
      <c r="G24" t="s">
        <v>50</v>
      </c>
      <c r="I24" t="s">
        <v>24</v>
      </c>
      <c r="J24" t="s">
        <v>51</v>
      </c>
      <c r="K24" t="s">
        <v>26</v>
      </c>
      <c r="M24" t="s">
        <v>27</v>
      </c>
      <c r="O24">
        <f t="shared" si="0"/>
        <v>22</v>
      </c>
      <c r="P24">
        <f t="shared" si="1"/>
        <v>22</v>
      </c>
      <c r="Q24">
        <f t="shared" si="2"/>
        <v>0</v>
      </c>
      <c r="R24" t="str">
        <f t="shared" si="3"/>
        <v>&lt;1 second</v>
      </c>
      <c r="S24">
        <f t="shared" si="4"/>
        <v>1</v>
      </c>
      <c r="T24">
        <f t="shared" si="5"/>
        <v>0.5</v>
      </c>
    </row>
    <row r="25" spans="4:20" x14ac:dyDescent="0.2">
      <c r="D25" s="3">
        <v>61.5</v>
      </c>
      <c r="E25" s="3">
        <v>61.55</v>
      </c>
      <c r="F25" t="s">
        <v>240</v>
      </c>
      <c r="G25" t="s">
        <v>142</v>
      </c>
      <c r="I25" t="s">
        <v>76</v>
      </c>
      <c r="J25" t="s">
        <v>143</v>
      </c>
      <c r="K25" t="s">
        <v>26</v>
      </c>
      <c r="M25" t="s">
        <v>27</v>
      </c>
      <c r="O25">
        <f t="shared" si="0"/>
        <v>22</v>
      </c>
      <c r="P25">
        <f t="shared" si="1"/>
        <v>26.999999999999545</v>
      </c>
      <c r="Q25">
        <f t="shared" si="2"/>
        <v>4.9999999999995453</v>
      </c>
      <c r="R25" t="str">
        <f t="shared" si="3"/>
        <v>&lt;6 seconds</v>
      </c>
      <c r="S25">
        <f t="shared" si="4"/>
        <v>5.9999999999995453</v>
      </c>
      <c r="T25">
        <f t="shared" si="5"/>
        <v>5.4999999999995453</v>
      </c>
    </row>
    <row r="26" spans="4:20" x14ac:dyDescent="0.2">
      <c r="D26" s="3">
        <v>61.56</v>
      </c>
      <c r="E26" s="3">
        <v>61.57</v>
      </c>
      <c r="F26" t="s">
        <v>241</v>
      </c>
      <c r="G26" t="s">
        <v>146</v>
      </c>
      <c r="I26" t="s">
        <v>82</v>
      </c>
      <c r="J26" t="s">
        <v>147</v>
      </c>
      <c r="K26" t="s">
        <v>26</v>
      </c>
      <c r="M26" t="s">
        <v>27</v>
      </c>
      <c r="O26">
        <f t="shared" si="0"/>
        <v>28</v>
      </c>
      <c r="P26">
        <f t="shared" si="1"/>
        <v>29</v>
      </c>
      <c r="Q26">
        <f t="shared" si="2"/>
        <v>1</v>
      </c>
      <c r="R26" t="str">
        <f t="shared" si="3"/>
        <v>&lt;2 seconds</v>
      </c>
      <c r="S26">
        <f t="shared" si="4"/>
        <v>2</v>
      </c>
      <c r="T26">
        <f t="shared" si="5"/>
        <v>1.5</v>
      </c>
    </row>
    <row r="27" spans="4:20" x14ac:dyDescent="0.2">
      <c r="D27" s="3">
        <v>61.58</v>
      </c>
      <c r="E27" s="3">
        <v>61.59</v>
      </c>
      <c r="F27" t="s">
        <v>242</v>
      </c>
      <c r="G27" t="s">
        <v>146</v>
      </c>
      <c r="I27" t="s">
        <v>82</v>
      </c>
      <c r="J27" t="s">
        <v>147</v>
      </c>
      <c r="K27" t="s">
        <v>26</v>
      </c>
      <c r="M27" t="s">
        <v>27</v>
      </c>
      <c r="O27">
        <f t="shared" si="0"/>
        <v>30</v>
      </c>
      <c r="P27">
        <f t="shared" si="1"/>
        <v>31.000000000000455</v>
      </c>
      <c r="Q27">
        <f t="shared" si="2"/>
        <v>1.0000000000004547</v>
      </c>
      <c r="R27" t="str">
        <f t="shared" si="3"/>
        <v>&lt;2 seconds</v>
      </c>
      <c r="S27">
        <f t="shared" si="4"/>
        <v>2.0000000000004547</v>
      </c>
      <c r="T27">
        <f t="shared" si="5"/>
        <v>1.5000000000004547</v>
      </c>
    </row>
    <row r="28" spans="4:20" x14ac:dyDescent="0.2">
      <c r="D28" s="3">
        <v>62</v>
      </c>
      <c r="E28" s="3">
        <f>D28</f>
        <v>62</v>
      </c>
      <c r="F28" t="s">
        <v>25</v>
      </c>
      <c r="G28" t="s">
        <v>23</v>
      </c>
      <c r="I28" t="s">
        <v>24</v>
      </c>
      <c r="J28" t="s">
        <v>25</v>
      </c>
      <c r="K28" t="s">
        <v>26</v>
      </c>
      <c r="M28" t="s">
        <v>27</v>
      </c>
      <c r="O28">
        <f t="shared" si="0"/>
        <v>32</v>
      </c>
      <c r="P28">
        <f t="shared" si="1"/>
        <v>32</v>
      </c>
      <c r="Q28">
        <f t="shared" si="2"/>
        <v>0</v>
      </c>
      <c r="R28" t="str">
        <f t="shared" si="3"/>
        <v>&lt;1 second</v>
      </c>
      <c r="S28">
        <f t="shared" si="4"/>
        <v>1</v>
      </c>
      <c r="T28">
        <f t="shared" si="5"/>
        <v>0.5</v>
      </c>
    </row>
    <row r="29" spans="4:20" x14ac:dyDescent="0.2">
      <c r="D29" s="3">
        <v>62.01</v>
      </c>
      <c r="E29" s="3">
        <v>62.06</v>
      </c>
      <c r="F29" t="s">
        <v>243</v>
      </c>
      <c r="G29" s="14" t="s">
        <v>244</v>
      </c>
      <c r="I29" t="s">
        <v>95</v>
      </c>
      <c r="J29" t="s">
        <v>245</v>
      </c>
      <c r="K29" t="s">
        <v>26</v>
      </c>
      <c r="M29" t="s">
        <v>27</v>
      </c>
      <c r="O29">
        <f t="shared" si="0"/>
        <v>33</v>
      </c>
      <c r="P29">
        <f t="shared" si="1"/>
        <v>38</v>
      </c>
      <c r="Q29">
        <f t="shared" si="2"/>
        <v>5</v>
      </c>
      <c r="R29" t="str">
        <f t="shared" si="3"/>
        <v>&lt;6 seconds</v>
      </c>
      <c r="S29">
        <f t="shared" si="4"/>
        <v>6</v>
      </c>
      <c r="T29">
        <f t="shared" si="5"/>
        <v>5.5</v>
      </c>
    </row>
    <row r="30" spans="4:20" x14ac:dyDescent="0.2">
      <c r="D30" s="3">
        <v>62.06</v>
      </c>
      <c r="E30" s="3">
        <f>D30</f>
        <v>62.06</v>
      </c>
      <c r="F30" t="s">
        <v>246</v>
      </c>
      <c r="G30" s="11" t="s">
        <v>31</v>
      </c>
      <c r="I30" t="s">
        <v>32</v>
      </c>
      <c r="J30" t="s">
        <v>100</v>
      </c>
      <c r="K30" t="s">
        <v>26</v>
      </c>
      <c r="M30" t="s">
        <v>34</v>
      </c>
      <c r="O30">
        <f t="shared" si="0"/>
        <v>38</v>
      </c>
      <c r="P30">
        <f t="shared" si="1"/>
        <v>38</v>
      </c>
      <c r="Q30">
        <f t="shared" si="2"/>
        <v>0</v>
      </c>
      <c r="R30" t="str">
        <f t="shared" si="3"/>
        <v>&lt;1 second</v>
      </c>
      <c r="S30">
        <f t="shared" si="4"/>
        <v>1</v>
      </c>
      <c r="T30">
        <f t="shared" si="5"/>
        <v>0.5</v>
      </c>
    </row>
    <row r="31" spans="4:20" x14ac:dyDescent="0.2">
      <c r="D31" s="3">
        <v>62.07</v>
      </c>
      <c r="E31" s="3">
        <f>D31</f>
        <v>62.07</v>
      </c>
      <c r="F31" t="s">
        <v>247</v>
      </c>
      <c r="G31" t="s">
        <v>23</v>
      </c>
      <c r="I31" t="s">
        <v>24</v>
      </c>
      <c r="J31" t="s">
        <v>25</v>
      </c>
      <c r="K31" t="s">
        <v>26</v>
      </c>
      <c r="M31" t="s">
        <v>27</v>
      </c>
      <c r="O31">
        <f t="shared" si="0"/>
        <v>39</v>
      </c>
      <c r="P31">
        <f t="shared" si="1"/>
        <v>39</v>
      </c>
      <c r="Q31">
        <f t="shared" si="2"/>
        <v>0</v>
      </c>
      <c r="R31" t="str">
        <f t="shared" si="3"/>
        <v>&lt;1 second</v>
      </c>
      <c r="S31">
        <f t="shared" si="4"/>
        <v>1</v>
      </c>
      <c r="T31">
        <f t="shared" si="5"/>
        <v>0.5</v>
      </c>
    </row>
    <row r="32" spans="4:20" x14ac:dyDescent="0.2">
      <c r="D32" s="3">
        <v>62.08</v>
      </c>
      <c r="E32" s="3">
        <f>D32</f>
        <v>62.08</v>
      </c>
      <c r="F32" t="s">
        <v>248</v>
      </c>
      <c r="G32" t="s">
        <v>50</v>
      </c>
      <c r="I32" t="s">
        <v>24</v>
      </c>
      <c r="J32" t="s">
        <v>51</v>
      </c>
      <c r="K32" t="s">
        <v>26</v>
      </c>
      <c r="M32" t="s">
        <v>27</v>
      </c>
      <c r="O32">
        <f t="shared" si="0"/>
        <v>40</v>
      </c>
      <c r="P32">
        <f t="shared" si="1"/>
        <v>40</v>
      </c>
      <c r="Q32">
        <f t="shared" si="2"/>
        <v>0</v>
      </c>
      <c r="R32" t="str">
        <f t="shared" si="3"/>
        <v>&lt;1 second</v>
      </c>
      <c r="S32">
        <f t="shared" si="4"/>
        <v>1</v>
      </c>
      <c r="T32">
        <f t="shared" si="5"/>
        <v>0.5</v>
      </c>
    </row>
    <row r="33" spans="4:20" x14ac:dyDescent="0.2">
      <c r="D33" s="3">
        <v>62.09</v>
      </c>
      <c r="E33" s="3">
        <v>62.24</v>
      </c>
      <c r="F33" t="s">
        <v>249</v>
      </c>
      <c r="G33" t="s">
        <v>98</v>
      </c>
      <c r="I33" t="s">
        <v>99</v>
      </c>
      <c r="J33" t="s">
        <v>99</v>
      </c>
      <c r="K33" t="s">
        <v>42</v>
      </c>
      <c r="M33" t="s">
        <v>27</v>
      </c>
      <c r="O33">
        <f t="shared" si="0"/>
        <v>41.000000000000455</v>
      </c>
      <c r="P33">
        <f t="shared" si="1"/>
        <v>56</v>
      </c>
      <c r="Q33">
        <f t="shared" si="2"/>
        <v>14.999999999999545</v>
      </c>
      <c r="R33" t="str">
        <f t="shared" si="3"/>
        <v>&lt;16 seconds</v>
      </c>
      <c r="S33">
        <f t="shared" si="4"/>
        <v>15.999999999999545</v>
      </c>
      <c r="T33">
        <f t="shared" si="5"/>
        <v>15.499999999999545</v>
      </c>
    </row>
    <row r="34" spans="4:20" x14ac:dyDescent="0.2">
      <c r="D34" s="3">
        <v>62.24</v>
      </c>
      <c r="E34" s="3">
        <f>D34</f>
        <v>62.24</v>
      </c>
      <c r="F34" t="s">
        <v>113</v>
      </c>
      <c r="G34" t="s">
        <v>68</v>
      </c>
      <c r="O34">
        <f t="shared" si="0"/>
        <v>56</v>
      </c>
      <c r="P34">
        <f t="shared" si="1"/>
        <v>56</v>
      </c>
      <c r="Q34">
        <f t="shared" si="2"/>
        <v>0</v>
      </c>
      <c r="R34" t="str">
        <f t="shared" si="3"/>
        <v>&lt;1 second</v>
      </c>
      <c r="S34">
        <f t="shared" si="4"/>
        <v>1</v>
      </c>
      <c r="T34">
        <f t="shared" si="5"/>
        <v>0.5</v>
      </c>
    </row>
    <row r="35" spans="4:20" x14ac:dyDescent="0.2">
      <c r="D35" s="3">
        <v>62.24</v>
      </c>
      <c r="E35" s="3">
        <f>D35</f>
        <v>62.24</v>
      </c>
      <c r="F35" t="s">
        <v>238</v>
      </c>
      <c r="G35" t="s">
        <v>50</v>
      </c>
      <c r="I35" t="s">
        <v>24</v>
      </c>
      <c r="J35" t="s">
        <v>51</v>
      </c>
      <c r="K35" t="s">
        <v>26</v>
      </c>
      <c r="M35" t="s">
        <v>27</v>
      </c>
      <c r="O35">
        <f t="shared" si="0"/>
        <v>56</v>
      </c>
      <c r="P35">
        <f t="shared" si="1"/>
        <v>56</v>
      </c>
      <c r="Q35">
        <f t="shared" si="2"/>
        <v>0</v>
      </c>
      <c r="R35" t="str">
        <f t="shared" si="3"/>
        <v>&lt;1 second</v>
      </c>
      <c r="S35">
        <f t="shared" si="4"/>
        <v>1</v>
      </c>
      <c r="T35">
        <f t="shared" si="5"/>
        <v>0.5</v>
      </c>
    </row>
    <row r="36" spans="4:20" x14ac:dyDescent="0.2">
      <c r="D36" s="3">
        <v>62.25</v>
      </c>
      <c r="E36" s="3">
        <f>D36</f>
        <v>62.25</v>
      </c>
      <c r="F36" t="s">
        <v>250</v>
      </c>
      <c r="G36" t="s">
        <v>142</v>
      </c>
      <c r="I36" t="s">
        <v>76</v>
      </c>
      <c r="J36" t="s">
        <v>143</v>
      </c>
      <c r="K36" t="s">
        <v>26</v>
      </c>
      <c r="M36" t="s">
        <v>27</v>
      </c>
      <c r="O36">
        <f t="shared" si="0"/>
        <v>57</v>
      </c>
      <c r="P36">
        <f t="shared" si="1"/>
        <v>57</v>
      </c>
      <c r="Q36">
        <f t="shared" si="2"/>
        <v>0</v>
      </c>
      <c r="R36" t="str">
        <f t="shared" si="3"/>
        <v>&lt;1 second</v>
      </c>
      <c r="S36">
        <f t="shared" si="4"/>
        <v>1</v>
      </c>
      <c r="T36">
        <f t="shared" si="5"/>
        <v>0.5</v>
      </c>
    </row>
    <row r="37" spans="4:20" x14ac:dyDescent="0.2">
      <c r="D37" s="3">
        <v>62.25</v>
      </c>
      <c r="E37" s="3">
        <v>62.28</v>
      </c>
      <c r="F37" t="s">
        <v>251</v>
      </c>
      <c r="G37" t="s">
        <v>142</v>
      </c>
      <c r="I37" t="s">
        <v>76</v>
      </c>
      <c r="J37" t="s">
        <v>143</v>
      </c>
      <c r="K37" t="s">
        <v>26</v>
      </c>
      <c r="M37" t="s">
        <v>27</v>
      </c>
      <c r="O37">
        <f t="shared" si="0"/>
        <v>57</v>
      </c>
      <c r="P37">
        <f t="shared" si="1"/>
        <v>60</v>
      </c>
      <c r="Q37">
        <f t="shared" si="2"/>
        <v>3</v>
      </c>
      <c r="R37" t="str">
        <f t="shared" si="3"/>
        <v>&lt;4 seconds</v>
      </c>
      <c r="S37">
        <f t="shared" si="4"/>
        <v>4</v>
      </c>
      <c r="T37">
        <f t="shared" si="5"/>
        <v>3.5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400-000003000000}">
      <formula1>"EASY,MEDIUM,HARD,VERY HARD"</formula1>
    </dataValidation>
    <dataValidation type="list" allowBlank="1" showErrorMessage="1" errorTitle="Invalid value" error="Please select a valid value." sqref="K2:L1000" xr:uid="{00000000-0002-0000-0400-000004000000}">
      <formula1>"cursor,keyboard,gesture,complex gesture,multi_step,multi_input"</formula1>
    </dataValidation>
    <dataValidation type="list" allowBlank="1" showErrorMessage="1" errorTitle="Invalid value" error="Please select a valid value." sqref="M2:M1000" xr:uid="{00000000-0002-0000-0400-000006000000}">
      <formula1>"canvas,gui,layers panel"</formula1>
    </dataValidation>
  </dataValidations>
  <hyperlinks>
    <hyperlink ref="B2" r:id="rId1" xr:uid="{6E70B790-39B7-D948-B5A0-2B965DBC53A9}"/>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400-000002000000}">
          <x14:formula1>
            <xm:f>_lists!$C$2:$C$1000</xm:f>
          </x14:formula1>
          <xm:sqref>J2:J1000</xm:sqref>
        </x14:dataValidation>
        <x14:dataValidation type="list" allowBlank="1" showErrorMessage="1" errorTitle="Invalid value" error="Please select a valid value." xr:uid="{00000000-0002-0000-0400-000001000000}">
          <x14:formula1>
            <xm:f>_lists!$B$2:$B$1000</xm:f>
          </x14:formula1>
          <xm:sqref>I2:I1000</xm:sqref>
        </x14:dataValidation>
        <x14:dataValidation type="list" allowBlank="1" showErrorMessage="1" errorTitle="Invalid value" error="Please select a valid value." xr:uid="{00000000-0002-0000-0400-000000000000}">
          <x14:formula1>
            <xm:f>_lists!$A$2:$A$1000</xm:f>
          </x14:formula1>
          <xm:sqref>G2:G1000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81"/>
  <sheetViews>
    <sheetView zoomScale="150"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80.6640625" bestFit="1" customWidth="1"/>
    <col min="7" max="7" width="75.33203125" bestFit="1" customWidth="1"/>
    <col min="8" max="8" width="5.5" customWidth="1"/>
    <col min="9" max="10" width="29.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212</v>
      </c>
      <c r="B2" s="10" t="s">
        <v>252</v>
      </c>
      <c r="C2" t="s">
        <v>253</v>
      </c>
      <c r="D2" s="3">
        <v>24.33</v>
      </c>
      <c r="E2" s="3">
        <f>D2</f>
        <v>24.33</v>
      </c>
      <c r="F2" t="s">
        <v>254</v>
      </c>
      <c r="G2" t="s">
        <v>55</v>
      </c>
      <c r="I2" t="s">
        <v>56</v>
      </c>
      <c r="J2" t="s">
        <v>38</v>
      </c>
      <c r="K2" t="s">
        <v>26</v>
      </c>
      <c r="M2" t="s">
        <v>27</v>
      </c>
      <c r="O2">
        <f t="shared" ref="O2:O44" si="0">ABS((INT(D2)*60+(D2-INT(D2))*100)-(INT($D$2)*60+($D$2-INT($D$2))*100))</f>
        <v>0</v>
      </c>
      <c r="P2">
        <f t="shared" ref="P2:P44" si="1">ABS((INT(E2)*60+(E2-INT(E2))*100)-(INT($D$2)*60+($D$2-INT($D$2))*100))</f>
        <v>0</v>
      </c>
      <c r="Q2">
        <f t="shared" ref="Q2:Q44" si="2">P2-O2</f>
        <v>0</v>
      </c>
      <c r="R2" t="str">
        <f t="shared" ref="R2:R44" si="3">IF(Q2=0,"&lt;1 second","&lt;"&amp;(ROUND(Q2,2)+1)&amp;" seconds")</f>
        <v>&lt;1 second</v>
      </c>
      <c r="S2">
        <f t="shared" ref="S2:S44" si="4">Q2+1</f>
        <v>1</v>
      </c>
      <c r="T2">
        <f t="shared" ref="T2:T44" si="5">Q2+0.5</f>
        <v>0.5</v>
      </c>
    </row>
    <row r="3" spans="1:21" x14ac:dyDescent="0.2">
      <c r="D3" s="3">
        <v>24.32</v>
      </c>
      <c r="E3" s="3">
        <f>D3</f>
        <v>24.32</v>
      </c>
      <c r="F3" t="s">
        <v>238</v>
      </c>
      <c r="G3" t="s">
        <v>50</v>
      </c>
      <c r="I3" t="s">
        <v>24</v>
      </c>
      <c r="J3" t="s">
        <v>51</v>
      </c>
      <c r="K3" t="s">
        <v>26</v>
      </c>
      <c r="M3" t="s">
        <v>27</v>
      </c>
      <c r="O3">
        <f t="shared" si="0"/>
        <v>0.99999999999977263</v>
      </c>
      <c r="P3">
        <f t="shared" si="1"/>
        <v>0.99999999999977263</v>
      </c>
      <c r="Q3">
        <f t="shared" si="2"/>
        <v>0</v>
      </c>
      <c r="R3" t="str">
        <f t="shared" si="3"/>
        <v>&lt;1 second</v>
      </c>
      <c r="S3">
        <f t="shared" si="4"/>
        <v>1</v>
      </c>
      <c r="T3">
        <f t="shared" si="5"/>
        <v>0.5</v>
      </c>
    </row>
    <row r="4" spans="1:21" x14ac:dyDescent="0.2">
      <c r="D4" s="3">
        <v>24.31</v>
      </c>
      <c r="E4" s="3">
        <v>24.3</v>
      </c>
      <c r="F4" t="s">
        <v>255</v>
      </c>
      <c r="G4" s="14" t="s">
        <v>256</v>
      </c>
      <c r="I4" s="19" t="s">
        <v>114</v>
      </c>
      <c r="J4" s="19" t="s">
        <v>53</v>
      </c>
      <c r="K4" t="s">
        <v>26</v>
      </c>
      <c r="M4" t="s">
        <v>34</v>
      </c>
      <c r="O4">
        <f t="shared" si="0"/>
        <v>2</v>
      </c>
      <c r="P4">
        <f t="shared" si="1"/>
        <v>2.9999999999997726</v>
      </c>
      <c r="Q4">
        <f t="shared" si="2"/>
        <v>0.99999999999977263</v>
      </c>
      <c r="R4" t="str">
        <f t="shared" si="3"/>
        <v>&lt;2 seconds</v>
      </c>
      <c r="S4">
        <f t="shared" si="4"/>
        <v>1.9999999999997726</v>
      </c>
      <c r="T4">
        <f t="shared" si="5"/>
        <v>1.4999999999997726</v>
      </c>
    </row>
    <row r="5" spans="1:21" x14ac:dyDescent="0.2">
      <c r="D5" s="3">
        <v>24.29</v>
      </c>
      <c r="E5" s="3">
        <f>D5</f>
        <v>24.29</v>
      </c>
      <c r="F5" t="s">
        <v>257</v>
      </c>
      <c r="G5" t="s">
        <v>44</v>
      </c>
      <c r="I5" t="s">
        <v>45</v>
      </c>
      <c r="J5" t="s">
        <v>46</v>
      </c>
      <c r="K5" t="s">
        <v>47</v>
      </c>
      <c r="M5" t="s">
        <v>27</v>
      </c>
      <c r="O5">
        <f t="shared" si="0"/>
        <v>3.9999999999997726</v>
      </c>
      <c r="P5">
        <f t="shared" si="1"/>
        <v>3.9999999999997726</v>
      </c>
      <c r="Q5">
        <f t="shared" si="2"/>
        <v>0</v>
      </c>
      <c r="R5" t="str">
        <f t="shared" si="3"/>
        <v>&lt;1 second</v>
      </c>
      <c r="S5">
        <f t="shared" si="4"/>
        <v>1</v>
      </c>
      <c r="T5">
        <f t="shared" si="5"/>
        <v>0.5</v>
      </c>
    </row>
    <row r="6" spans="1:21" x14ac:dyDescent="0.2">
      <c r="D6" s="3">
        <v>24.28</v>
      </c>
      <c r="E6" s="3">
        <v>24.27</v>
      </c>
      <c r="F6" t="s">
        <v>254</v>
      </c>
      <c r="G6" t="s">
        <v>55</v>
      </c>
      <c r="I6" t="s">
        <v>56</v>
      </c>
      <c r="J6" t="s">
        <v>38</v>
      </c>
      <c r="K6" t="s">
        <v>26</v>
      </c>
      <c r="M6" t="s">
        <v>27</v>
      </c>
      <c r="O6">
        <f t="shared" si="0"/>
        <v>4.9999999999997726</v>
      </c>
      <c r="P6">
        <f t="shared" si="1"/>
        <v>5.9999999999997726</v>
      </c>
      <c r="Q6">
        <f t="shared" si="2"/>
        <v>1</v>
      </c>
      <c r="R6" t="str">
        <f t="shared" si="3"/>
        <v>&lt;2 seconds</v>
      </c>
      <c r="S6">
        <f t="shared" si="4"/>
        <v>2</v>
      </c>
      <c r="T6">
        <f t="shared" si="5"/>
        <v>1.5</v>
      </c>
    </row>
    <row r="7" spans="1:21" x14ac:dyDescent="0.2">
      <c r="D7" s="3">
        <v>24.27</v>
      </c>
      <c r="E7" s="3">
        <f>D7</f>
        <v>24.27</v>
      </c>
      <c r="F7" t="s">
        <v>257</v>
      </c>
      <c r="G7" t="s">
        <v>44</v>
      </c>
      <c r="I7" t="s">
        <v>45</v>
      </c>
      <c r="J7" t="s">
        <v>46</v>
      </c>
      <c r="K7" t="s">
        <v>47</v>
      </c>
      <c r="M7" t="s">
        <v>27</v>
      </c>
      <c r="O7">
        <f t="shared" si="0"/>
        <v>5.9999999999997726</v>
      </c>
      <c r="P7">
        <f t="shared" si="1"/>
        <v>5.9999999999997726</v>
      </c>
      <c r="Q7">
        <f t="shared" si="2"/>
        <v>0</v>
      </c>
      <c r="R7" t="str">
        <f t="shared" si="3"/>
        <v>&lt;1 second</v>
      </c>
      <c r="S7">
        <f t="shared" si="4"/>
        <v>1</v>
      </c>
      <c r="T7">
        <f t="shared" si="5"/>
        <v>0.5</v>
      </c>
    </row>
    <row r="8" spans="1:21" x14ac:dyDescent="0.2">
      <c r="D8" s="3">
        <v>24.26</v>
      </c>
      <c r="E8" s="3">
        <f>D8</f>
        <v>24.26</v>
      </c>
      <c r="F8" t="s">
        <v>258</v>
      </c>
      <c r="G8" s="11" t="s">
        <v>31</v>
      </c>
      <c r="I8" t="s">
        <v>82</v>
      </c>
      <c r="J8" t="s">
        <v>125</v>
      </c>
      <c r="K8" t="s">
        <v>26</v>
      </c>
      <c r="M8" t="s">
        <v>34</v>
      </c>
      <c r="O8">
        <f t="shared" si="0"/>
        <v>6.9999999999995453</v>
      </c>
      <c r="P8">
        <f t="shared" si="1"/>
        <v>6.9999999999995453</v>
      </c>
      <c r="Q8">
        <f t="shared" si="2"/>
        <v>0</v>
      </c>
      <c r="R8" t="str">
        <f t="shared" si="3"/>
        <v>&lt;1 second</v>
      </c>
      <c r="S8">
        <f t="shared" si="4"/>
        <v>1</v>
      </c>
      <c r="T8">
        <f t="shared" si="5"/>
        <v>0.5</v>
      </c>
    </row>
    <row r="9" spans="1:21" x14ac:dyDescent="0.2">
      <c r="D9" s="3">
        <v>24.26</v>
      </c>
      <c r="E9" s="3">
        <f>D9</f>
        <v>24.26</v>
      </c>
      <c r="F9" t="s">
        <v>259</v>
      </c>
      <c r="G9" s="11" t="s">
        <v>31</v>
      </c>
      <c r="I9" t="s">
        <v>82</v>
      </c>
      <c r="J9" t="s">
        <v>125</v>
      </c>
      <c r="K9" t="s">
        <v>26</v>
      </c>
      <c r="M9" t="s">
        <v>34</v>
      </c>
      <c r="O9">
        <f t="shared" si="0"/>
        <v>6.9999999999995453</v>
      </c>
      <c r="P9">
        <f t="shared" si="1"/>
        <v>6.9999999999995453</v>
      </c>
      <c r="Q9">
        <f t="shared" si="2"/>
        <v>0</v>
      </c>
      <c r="R9" t="str">
        <f t="shared" si="3"/>
        <v>&lt;1 second</v>
      </c>
      <c r="S9">
        <f t="shared" si="4"/>
        <v>1</v>
      </c>
      <c r="T9">
        <f t="shared" si="5"/>
        <v>0.5</v>
      </c>
    </row>
    <row r="10" spans="1:21" x14ac:dyDescent="0.2">
      <c r="D10" s="3">
        <v>24.24</v>
      </c>
      <c r="E10" s="3">
        <v>24.23</v>
      </c>
      <c r="F10" t="s">
        <v>260</v>
      </c>
      <c r="G10" s="14" t="s">
        <v>261</v>
      </c>
      <c r="I10" t="s">
        <v>32</v>
      </c>
      <c r="J10" t="s">
        <v>32</v>
      </c>
      <c r="K10" t="s">
        <v>26</v>
      </c>
      <c r="M10" t="s">
        <v>27</v>
      </c>
      <c r="O10">
        <f t="shared" si="0"/>
        <v>9</v>
      </c>
      <c r="P10">
        <f t="shared" si="1"/>
        <v>9.9999999999997726</v>
      </c>
      <c r="Q10">
        <f t="shared" si="2"/>
        <v>0.99999999999977263</v>
      </c>
      <c r="R10" t="str">
        <f t="shared" si="3"/>
        <v>&lt;2 seconds</v>
      </c>
      <c r="S10">
        <f t="shared" si="4"/>
        <v>1.9999999999997726</v>
      </c>
      <c r="T10">
        <f t="shared" si="5"/>
        <v>1.4999999999997726</v>
      </c>
    </row>
    <row r="11" spans="1:21" x14ac:dyDescent="0.2">
      <c r="D11" s="3">
        <v>24.23</v>
      </c>
      <c r="E11" s="3">
        <f>24.22</f>
        <v>24.22</v>
      </c>
      <c r="F11" t="s">
        <v>262</v>
      </c>
      <c r="G11" t="s">
        <v>232</v>
      </c>
      <c r="I11" t="s">
        <v>45</v>
      </c>
      <c r="J11" t="s">
        <v>90</v>
      </c>
      <c r="K11" t="s">
        <v>91</v>
      </c>
      <c r="M11" t="s">
        <v>27</v>
      </c>
      <c r="O11">
        <f t="shared" si="0"/>
        <v>9.9999999999997726</v>
      </c>
      <c r="P11">
        <f t="shared" si="1"/>
        <v>10.999999999999773</v>
      </c>
      <c r="Q11">
        <f t="shared" si="2"/>
        <v>1</v>
      </c>
      <c r="R11" t="str">
        <f t="shared" si="3"/>
        <v>&lt;2 seconds</v>
      </c>
      <c r="S11">
        <f t="shared" si="4"/>
        <v>2</v>
      </c>
      <c r="T11">
        <f t="shared" si="5"/>
        <v>1.5</v>
      </c>
    </row>
    <row r="12" spans="1:21" x14ac:dyDescent="0.2">
      <c r="D12" s="3">
        <v>24.21</v>
      </c>
      <c r="E12" s="3">
        <f t="shared" ref="E12:E17" si="6">D12</f>
        <v>24.21</v>
      </c>
      <c r="F12" t="s">
        <v>193</v>
      </c>
      <c r="G12" t="s">
        <v>182</v>
      </c>
      <c r="I12" t="s">
        <v>80</v>
      </c>
      <c r="J12" t="s">
        <v>183</v>
      </c>
      <c r="K12" t="s">
        <v>42</v>
      </c>
      <c r="M12" t="s">
        <v>27</v>
      </c>
      <c r="O12">
        <f t="shared" si="0"/>
        <v>11.999999999999773</v>
      </c>
      <c r="P12">
        <f t="shared" si="1"/>
        <v>11.999999999999773</v>
      </c>
      <c r="Q12">
        <f t="shared" si="2"/>
        <v>0</v>
      </c>
      <c r="R12" t="str">
        <f t="shared" si="3"/>
        <v>&lt;1 second</v>
      </c>
      <c r="S12">
        <f t="shared" si="4"/>
        <v>1</v>
      </c>
      <c r="T12">
        <f t="shared" si="5"/>
        <v>0.5</v>
      </c>
    </row>
    <row r="13" spans="1:21" x14ac:dyDescent="0.2">
      <c r="D13" s="3">
        <v>24.2</v>
      </c>
      <c r="E13" s="3">
        <f t="shared" si="6"/>
        <v>24.2</v>
      </c>
      <c r="F13" t="s">
        <v>220</v>
      </c>
      <c r="G13" t="s">
        <v>108</v>
      </c>
      <c r="I13" t="s">
        <v>24</v>
      </c>
      <c r="J13" t="s">
        <v>71</v>
      </c>
      <c r="K13" t="s">
        <v>26</v>
      </c>
      <c r="M13" t="s">
        <v>27</v>
      </c>
      <c r="O13">
        <f t="shared" si="0"/>
        <v>12.999999999999773</v>
      </c>
      <c r="P13">
        <f t="shared" si="1"/>
        <v>12.999999999999773</v>
      </c>
      <c r="Q13">
        <f t="shared" si="2"/>
        <v>0</v>
      </c>
      <c r="R13" t="str">
        <f t="shared" si="3"/>
        <v>&lt;1 second</v>
      </c>
      <c r="S13">
        <f t="shared" si="4"/>
        <v>1</v>
      </c>
      <c r="T13">
        <f t="shared" si="5"/>
        <v>0.5</v>
      </c>
    </row>
    <row r="14" spans="1:21" x14ac:dyDescent="0.2">
      <c r="D14" s="3">
        <v>24.17</v>
      </c>
      <c r="E14" s="3">
        <f t="shared" si="6"/>
        <v>24.17</v>
      </c>
      <c r="F14" t="s">
        <v>263</v>
      </c>
      <c r="G14" t="s">
        <v>84</v>
      </c>
      <c r="I14" t="s">
        <v>76</v>
      </c>
      <c r="J14" t="s">
        <v>85</v>
      </c>
      <c r="K14" t="s">
        <v>26</v>
      </c>
      <c r="M14" t="s">
        <v>27</v>
      </c>
      <c r="O14">
        <f t="shared" si="0"/>
        <v>15.999999999999545</v>
      </c>
      <c r="P14">
        <f t="shared" si="1"/>
        <v>15.999999999999545</v>
      </c>
      <c r="Q14">
        <f t="shared" si="2"/>
        <v>0</v>
      </c>
      <c r="R14" t="str">
        <f t="shared" si="3"/>
        <v>&lt;1 second</v>
      </c>
      <c r="S14">
        <f t="shared" si="4"/>
        <v>1</v>
      </c>
      <c r="T14">
        <f t="shared" si="5"/>
        <v>0.5</v>
      </c>
    </row>
    <row r="15" spans="1:21" x14ac:dyDescent="0.2">
      <c r="D15" s="3">
        <v>24.16</v>
      </c>
      <c r="E15" s="3">
        <f t="shared" si="6"/>
        <v>24.16</v>
      </c>
      <c r="F15" t="s">
        <v>25</v>
      </c>
      <c r="G15" t="s">
        <v>23</v>
      </c>
      <c r="I15" t="s">
        <v>24</v>
      </c>
      <c r="J15" t="s">
        <v>25</v>
      </c>
      <c r="K15" t="s">
        <v>26</v>
      </c>
      <c r="M15" t="s">
        <v>27</v>
      </c>
      <c r="O15">
        <f t="shared" si="0"/>
        <v>16.999999999999773</v>
      </c>
      <c r="P15">
        <f t="shared" si="1"/>
        <v>16.999999999999773</v>
      </c>
      <c r="Q15">
        <f t="shared" si="2"/>
        <v>0</v>
      </c>
      <c r="R15" t="str">
        <f t="shared" si="3"/>
        <v>&lt;1 second</v>
      </c>
      <c r="S15">
        <f t="shared" si="4"/>
        <v>1</v>
      </c>
      <c r="T15">
        <f t="shared" si="5"/>
        <v>0.5</v>
      </c>
    </row>
    <row r="16" spans="1:21" x14ac:dyDescent="0.2">
      <c r="D16" s="3">
        <v>24.16</v>
      </c>
      <c r="E16" s="3">
        <f t="shared" si="6"/>
        <v>24.16</v>
      </c>
      <c r="F16" t="s">
        <v>238</v>
      </c>
      <c r="G16" t="s">
        <v>50</v>
      </c>
      <c r="I16" t="s">
        <v>24</v>
      </c>
      <c r="J16" t="s">
        <v>51</v>
      </c>
      <c r="K16" t="s">
        <v>26</v>
      </c>
      <c r="M16" t="s">
        <v>27</v>
      </c>
      <c r="O16">
        <f t="shared" si="0"/>
        <v>16.999999999999773</v>
      </c>
      <c r="P16">
        <f t="shared" si="1"/>
        <v>16.999999999999773</v>
      </c>
      <c r="Q16">
        <f t="shared" si="2"/>
        <v>0</v>
      </c>
      <c r="R16" t="str">
        <f t="shared" si="3"/>
        <v>&lt;1 second</v>
      </c>
      <c r="S16">
        <f t="shared" si="4"/>
        <v>1</v>
      </c>
      <c r="T16">
        <f t="shared" si="5"/>
        <v>0.5</v>
      </c>
    </row>
    <row r="17" spans="4:20" x14ac:dyDescent="0.2">
      <c r="D17" s="3">
        <v>24.15</v>
      </c>
      <c r="E17" s="3">
        <f t="shared" si="6"/>
        <v>24.15</v>
      </c>
      <c r="F17" t="s">
        <v>264</v>
      </c>
      <c r="G17" s="14" t="s">
        <v>265</v>
      </c>
      <c r="I17" s="19" t="s">
        <v>76</v>
      </c>
      <c r="J17" s="19" t="s">
        <v>85</v>
      </c>
      <c r="K17" t="s">
        <v>26</v>
      </c>
      <c r="M17" t="s">
        <v>27</v>
      </c>
      <c r="O17">
        <f t="shared" si="0"/>
        <v>18</v>
      </c>
      <c r="P17">
        <f t="shared" si="1"/>
        <v>18</v>
      </c>
      <c r="Q17">
        <f t="shared" si="2"/>
        <v>0</v>
      </c>
      <c r="R17" t="str">
        <f t="shared" si="3"/>
        <v>&lt;1 second</v>
      </c>
      <c r="S17">
        <f t="shared" si="4"/>
        <v>1</v>
      </c>
      <c r="T17">
        <f t="shared" si="5"/>
        <v>0.5</v>
      </c>
    </row>
    <row r="18" spans="4:20" x14ac:dyDescent="0.2">
      <c r="D18" s="3">
        <v>24.15</v>
      </c>
      <c r="E18" s="3">
        <v>24.14</v>
      </c>
      <c r="F18" t="s">
        <v>266</v>
      </c>
      <c r="G18" t="s">
        <v>232</v>
      </c>
      <c r="I18" t="s">
        <v>45</v>
      </c>
      <c r="J18" t="s">
        <v>90</v>
      </c>
      <c r="K18" t="s">
        <v>91</v>
      </c>
      <c r="M18" t="s">
        <v>27</v>
      </c>
      <c r="O18">
        <f t="shared" si="0"/>
        <v>18</v>
      </c>
      <c r="P18">
        <f t="shared" si="1"/>
        <v>18.999999999999773</v>
      </c>
      <c r="Q18">
        <f t="shared" si="2"/>
        <v>0.99999999999977263</v>
      </c>
      <c r="R18" t="str">
        <f t="shared" si="3"/>
        <v>&lt;2 seconds</v>
      </c>
      <c r="S18">
        <f t="shared" si="4"/>
        <v>1.9999999999997726</v>
      </c>
      <c r="T18">
        <f t="shared" si="5"/>
        <v>1.4999999999997726</v>
      </c>
    </row>
    <row r="19" spans="4:20" x14ac:dyDescent="0.2">
      <c r="D19" s="3">
        <v>24.14</v>
      </c>
      <c r="E19" s="3">
        <v>24.13</v>
      </c>
      <c r="F19" t="s">
        <v>267</v>
      </c>
      <c r="G19" s="14" t="s">
        <v>268</v>
      </c>
      <c r="I19" t="s">
        <v>76</v>
      </c>
      <c r="J19" t="s">
        <v>85</v>
      </c>
      <c r="K19" t="s">
        <v>26</v>
      </c>
      <c r="M19" t="s">
        <v>27</v>
      </c>
      <c r="O19">
        <f t="shared" si="0"/>
        <v>18.999999999999773</v>
      </c>
      <c r="P19">
        <f t="shared" si="1"/>
        <v>19.999999999999773</v>
      </c>
      <c r="Q19">
        <f t="shared" si="2"/>
        <v>1</v>
      </c>
      <c r="R19" t="str">
        <f t="shared" si="3"/>
        <v>&lt;2 seconds</v>
      </c>
      <c r="S19">
        <f t="shared" si="4"/>
        <v>2</v>
      </c>
      <c r="T19">
        <f t="shared" si="5"/>
        <v>1.5</v>
      </c>
    </row>
    <row r="20" spans="4:20" x14ac:dyDescent="0.2">
      <c r="D20" s="3">
        <v>24.12</v>
      </c>
      <c r="E20" s="3">
        <f t="shared" ref="E20:E25" si="7">D20</f>
        <v>24.12</v>
      </c>
      <c r="F20" t="s">
        <v>269</v>
      </c>
      <c r="G20" s="14" t="s">
        <v>265</v>
      </c>
      <c r="I20" s="19" t="s">
        <v>76</v>
      </c>
      <c r="J20" s="19" t="s">
        <v>85</v>
      </c>
      <c r="K20" t="s">
        <v>26</v>
      </c>
      <c r="M20" t="s">
        <v>27</v>
      </c>
      <c r="O20">
        <f t="shared" si="0"/>
        <v>20.999999999999773</v>
      </c>
      <c r="P20">
        <f t="shared" si="1"/>
        <v>20.999999999999773</v>
      </c>
      <c r="Q20">
        <f t="shared" si="2"/>
        <v>0</v>
      </c>
      <c r="R20" t="str">
        <f t="shared" si="3"/>
        <v>&lt;1 second</v>
      </c>
      <c r="S20">
        <f t="shared" si="4"/>
        <v>1</v>
      </c>
      <c r="T20">
        <f t="shared" si="5"/>
        <v>0.5</v>
      </c>
    </row>
    <row r="21" spans="4:20" x14ac:dyDescent="0.2">
      <c r="D21" s="3">
        <v>24.12</v>
      </c>
      <c r="E21" s="3">
        <f t="shared" si="7"/>
        <v>24.12</v>
      </c>
      <c r="F21" t="s">
        <v>270</v>
      </c>
      <c r="G21" s="14" t="s">
        <v>268</v>
      </c>
      <c r="I21" t="s">
        <v>76</v>
      </c>
      <c r="J21" t="s">
        <v>85</v>
      </c>
      <c r="K21" t="s">
        <v>26</v>
      </c>
      <c r="M21" t="s">
        <v>27</v>
      </c>
      <c r="O21">
        <f t="shared" si="0"/>
        <v>20.999999999999773</v>
      </c>
      <c r="P21">
        <f t="shared" si="1"/>
        <v>20.999999999999773</v>
      </c>
      <c r="Q21">
        <f t="shared" si="2"/>
        <v>0</v>
      </c>
      <c r="R21" t="str">
        <f t="shared" si="3"/>
        <v>&lt;1 second</v>
      </c>
      <c r="S21">
        <f t="shared" si="4"/>
        <v>1</v>
      </c>
      <c r="T21">
        <f t="shared" si="5"/>
        <v>0.5</v>
      </c>
    </row>
    <row r="22" spans="4:20" x14ac:dyDescent="0.2">
      <c r="D22" s="3">
        <v>24.11</v>
      </c>
      <c r="E22" s="3">
        <f t="shared" si="7"/>
        <v>24.11</v>
      </c>
      <c r="F22" t="s">
        <v>271</v>
      </c>
      <c r="G22" t="s">
        <v>44</v>
      </c>
      <c r="I22" t="s">
        <v>45</v>
      </c>
      <c r="J22" t="s">
        <v>46</v>
      </c>
      <c r="K22" t="s">
        <v>47</v>
      </c>
      <c r="M22" t="s">
        <v>27</v>
      </c>
      <c r="O22">
        <f t="shared" si="0"/>
        <v>21.999999999999773</v>
      </c>
      <c r="P22">
        <f t="shared" si="1"/>
        <v>21.999999999999773</v>
      </c>
      <c r="Q22">
        <f t="shared" si="2"/>
        <v>0</v>
      </c>
      <c r="R22" t="str">
        <f t="shared" si="3"/>
        <v>&lt;1 second</v>
      </c>
      <c r="S22">
        <f t="shared" si="4"/>
        <v>1</v>
      </c>
      <c r="T22">
        <f t="shared" si="5"/>
        <v>0.5</v>
      </c>
    </row>
    <row r="23" spans="4:20" x14ac:dyDescent="0.2">
      <c r="D23" s="3">
        <v>24.1</v>
      </c>
      <c r="E23" s="3">
        <f t="shared" si="7"/>
        <v>24.1</v>
      </c>
      <c r="F23" t="s">
        <v>272</v>
      </c>
      <c r="G23" s="14" t="s">
        <v>273</v>
      </c>
      <c r="I23" s="19" t="s">
        <v>82</v>
      </c>
      <c r="J23" s="19" t="s">
        <v>274</v>
      </c>
      <c r="K23" t="s">
        <v>26</v>
      </c>
      <c r="M23" t="s">
        <v>27</v>
      </c>
      <c r="O23">
        <f t="shared" si="0"/>
        <v>22.999999999999545</v>
      </c>
      <c r="P23">
        <f t="shared" si="1"/>
        <v>22.999999999999545</v>
      </c>
      <c r="Q23">
        <f t="shared" si="2"/>
        <v>0</v>
      </c>
      <c r="R23" t="str">
        <f t="shared" si="3"/>
        <v>&lt;1 second</v>
      </c>
      <c r="S23">
        <f t="shared" si="4"/>
        <v>1</v>
      </c>
      <c r="T23">
        <f t="shared" si="5"/>
        <v>0.5</v>
      </c>
    </row>
    <row r="24" spans="4:20" x14ac:dyDescent="0.2">
      <c r="D24" s="3">
        <v>24.09</v>
      </c>
      <c r="E24" s="3">
        <f t="shared" si="7"/>
        <v>24.09</v>
      </c>
      <c r="F24" t="s">
        <v>41</v>
      </c>
      <c r="G24" t="s">
        <v>40</v>
      </c>
      <c r="I24" t="s">
        <v>41</v>
      </c>
      <c r="J24" t="s">
        <v>41</v>
      </c>
      <c r="K24" t="s">
        <v>42</v>
      </c>
      <c r="M24" t="s">
        <v>27</v>
      </c>
      <c r="O24">
        <f t="shared" si="0"/>
        <v>23.999999999999773</v>
      </c>
      <c r="P24">
        <f t="shared" si="1"/>
        <v>23.999999999999773</v>
      </c>
      <c r="Q24">
        <f t="shared" si="2"/>
        <v>0</v>
      </c>
      <c r="R24" t="str">
        <f t="shared" si="3"/>
        <v>&lt;1 second</v>
      </c>
      <c r="S24">
        <f t="shared" si="4"/>
        <v>1</v>
      </c>
      <c r="T24">
        <f t="shared" si="5"/>
        <v>0.5</v>
      </c>
    </row>
    <row r="25" spans="4:20" x14ac:dyDescent="0.2">
      <c r="D25" s="3">
        <v>24.09</v>
      </c>
      <c r="E25" s="3">
        <f t="shared" si="7"/>
        <v>24.09</v>
      </c>
      <c r="F25" t="s">
        <v>238</v>
      </c>
      <c r="G25" t="s">
        <v>50</v>
      </c>
      <c r="I25" t="s">
        <v>24</v>
      </c>
      <c r="J25" t="s">
        <v>51</v>
      </c>
      <c r="K25" t="s">
        <v>26</v>
      </c>
      <c r="M25" t="s">
        <v>27</v>
      </c>
      <c r="O25">
        <f t="shared" si="0"/>
        <v>23.999999999999773</v>
      </c>
      <c r="P25">
        <f t="shared" si="1"/>
        <v>23.999999999999773</v>
      </c>
      <c r="Q25">
        <f t="shared" si="2"/>
        <v>0</v>
      </c>
      <c r="R25" t="str">
        <f t="shared" si="3"/>
        <v>&lt;1 second</v>
      </c>
      <c r="S25">
        <f t="shared" si="4"/>
        <v>1</v>
      </c>
      <c r="T25">
        <f t="shared" si="5"/>
        <v>0.5</v>
      </c>
    </row>
    <row r="26" spans="4:20" x14ac:dyDescent="0.2">
      <c r="D26" s="3">
        <v>24.09</v>
      </c>
      <c r="E26" s="3">
        <v>24.08</v>
      </c>
      <c r="F26" t="s">
        <v>275</v>
      </c>
      <c r="G26" s="14" t="s">
        <v>265</v>
      </c>
      <c r="I26" s="19" t="s">
        <v>76</v>
      </c>
      <c r="J26" s="19" t="s">
        <v>85</v>
      </c>
      <c r="K26" t="s">
        <v>26</v>
      </c>
      <c r="M26" t="s">
        <v>27</v>
      </c>
      <c r="O26">
        <f t="shared" si="0"/>
        <v>23.999999999999773</v>
      </c>
      <c r="P26">
        <f t="shared" si="1"/>
        <v>25</v>
      </c>
      <c r="Q26">
        <f t="shared" si="2"/>
        <v>1.0000000000002274</v>
      </c>
      <c r="R26" t="str">
        <f t="shared" si="3"/>
        <v>&lt;2 seconds</v>
      </c>
      <c r="S26">
        <f t="shared" si="4"/>
        <v>2.0000000000002274</v>
      </c>
      <c r="T26">
        <f t="shared" si="5"/>
        <v>1.5000000000002274</v>
      </c>
    </row>
    <row r="27" spans="4:20" x14ac:dyDescent="0.2">
      <c r="D27" s="3">
        <v>24.07</v>
      </c>
      <c r="E27" s="3">
        <f>D27</f>
        <v>24.07</v>
      </c>
      <c r="F27" t="s">
        <v>276</v>
      </c>
      <c r="G27" s="14" t="s">
        <v>268</v>
      </c>
      <c r="I27" t="s">
        <v>76</v>
      </c>
      <c r="J27" t="s">
        <v>85</v>
      </c>
      <c r="K27" t="s">
        <v>26</v>
      </c>
      <c r="M27" t="s">
        <v>27</v>
      </c>
      <c r="O27">
        <f t="shared" si="0"/>
        <v>25.999999999999773</v>
      </c>
      <c r="P27">
        <f t="shared" si="1"/>
        <v>25.999999999999773</v>
      </c>
      <c r="Q27">
        <f t="shared" si="2"/>
        <v>0</v>
      </c>
      <c r="R27" t="str">
        <f t="shared" si="3"/>
        <v>&lt;1 second</v>
      </c>
      <c r="S27">
        <f t="shared" si="4"/>
        <v>1</v>
      </c>
      <c r="T27">
        <f t="shared" si="5"/>
        <v>0.5</v>
      </c>
    </row>
    <row r="28" spans="4:20" x14ac:dyDescent="0.2">
      <c r="D28" s="3">
        <v>24.06</v>
      </c>
      <c r="E28" s="3">
        <v>24.05</v>
      </c>
      <c r="F28" t="s">
        <v>277</v>
      </c>
      <c r="G28" s="11" t="s">
        <v>31</v>
      </c>
      <c r="I28" t="s">
        <v>32</v>
      </c>
      <c r="J28" t="s">
        <v>53</v>
      </c>
      <c r="K28" t="s">
        <v>26</v>
      </c>
      <c r="M28" t="s">
        <v>34</v>
      </c>
      <c r="O28">
        <f t="shared" si="0"/>
        <v>27</v>
      </c>
      <c r="P28">
        <f t="shared" si="1"/>
        <v>27.999999999999773</v>
      </c>
      <c r="Q28">
        <f t="shared" si="2"/>
        <v>0.99999999999977263</v>
      </c>
      <c r="R28" t="str">
        <f t="shared" si="3"/>
        <v>&lt;2 seconds</v>
      </c>
      <c r="S28">
        <f t="shared" si="4"/>
        <v>1.9999999999997726</v>
      </c>
      <c r="T28">
        <f t="shared" si="5"/>
        <v>1.4999999999997726</v>
      </c>
    </row>
    <row r="29" spans="4:20" x14ac:dyDescent="0.2">
      <c r="D29" s="3">
        <v>24.04</v>
      </c>
      <c r="E29" s="3">
        <f>D29</f>
        <v>24.04</v>
      </c>
      <c r="F29" t="s">
        <v>43</v>
      </c>
      <c r="G29" t="s">
        <v>44</v>
      </c>
      <c r="I29" t="s">
        <v>45</v>
      </c>
      <c r="J29" t="s">
        <v>46</v>
      </c>
      <c r="K29" t="s">
        <v>47</v>
      </c>
      <c r="M29" t="s">
        <v>27</v>
      </c>
      <c r="O29">
        <f t="shared" si="0"/>
        <v>28.999999999999773</v>
      </c>
      <c r="P29">
        <f t="shared" si="1"/>
        <v>28.999999999999773</v>
      </c>
      <c r="Q29">
        <f t="shared" si="2"/>
        <v>0</v>
      </c>
      <c r="R29" t="str">
        <f t="shared" si="3"/>
        <v>&lt;1 second</v>
      </c>
      <c r="S29">
        <f t="shared" si="4"/>
        <v>1</v>
      </c>
      <c r="T29">
        <f t="shared" si="5"/>
        <v>0.5</v>
      </c>
    </row>
    <row r="30" spans="4:20" x14ac:dyDescent="0.2">
      <c r="D30" s="3">
        <v>24.01</v>
      </c>
      <c r="E30" s="3">
        <f>D30</f>
        <v>24.01</v>
      </c>
      <c r="F30" t="s">
        <v>69</v>
      </c>
      <c r="G30" t="s">
        <v>49</v>
      </c>
      <c r="I30" t="s">
        <v>45</v>
      </c>
      <c r="J30" t="s">
        <v>46</v>
      </c>
      <c r="K30" t="s">
        <v>47</v>
      </c>
      <c r="M30" t="s">
        <v>27</v>
      </c>
      <c r="O30">
        <f t="shared" si="0"/>
        <v>31.999999999999545</v>
      </c>
      <c r="P30">
        <f t="shared" si="1"/>
        <v>31.999999999999545</v>
      </c>
      <c r="Q30">
        <f t="shared" si="2"/>
        <v>0</v>
      </c>
      <c r="R30" t="str">
        <f t="shared" si="3"/>
        <v>&lt;1 second</v>
      </c>
      <c r="S30">
        <f t="shared" si="4"/>
        <v>1</v>
      </c>
      <c r="T30">
        <f t="shared" si="5"/>
        <v>0.5</v>
      </c>
    </row>
    <row r="31" spans="4:20" x14ac:dyDescent="0.2">
      <c r="D31" s="3">
        <v>24.01</v>
      </c>
      <c r="E31" s="3">
        <v>23.56</v>
      </c>
      <c r="F31" t="s">
        <v>278</v>
      </c>
      <c r="G31" s="14" t="s">
        <v>279</v>
      </c>
      <c r="I31" t="s">
        <v>280</v>
      </c>
      <c r="J31" t="s">
        <v>280</v>
      </c>
      <c r="K31" t="s">
        <v>26</v>
      </c>
      <c r="M31" t="s">
        <v>34</v>
      </c>
      <c r="O31">
        <f t="shared" si="0"/>
        <v>31.999999999999545</v>
      </c>
      <c r="P31">
        <f t="shared" si="1"/>
        <v>37</v>
      </c>
      <c r="Q31">
        <f t="shared" si="2"/>
        <v>5.0000000000004547</v>
      </c>
      <c r="R31" t="str">
        <f t="shared" si="3"/>
        <v>&lt;6 seconds</v>
      </c>
      <c r="S31">
        <f t="shared" si="4"/>
        <v>6.0000000000004547</v>
      </c>
      <c r="T31">
        <f t="shared" si="5"/>
        <v>5.5000000000004547</v>
      </c>
    </row>
    <row r="32" spans="4:20" x14ac:dyDescent="0.2">
      <c r="D32" s="3">
        <v>23.56</v>
      </c>
      <c r="E32" s="3">
        <f>D32</f>
        <v>23.56</v>
      </c>
      <c r="F32" t="s">
        <v>43</v>
      </c>
      <c r="G32" t="s">
        <v>44</v>
      </c>
      <c r="I32" t="s">
        <v>45</v>
      </c>
      <c r="J32" t="s">
        <v>46</v>
      </c>
      <c r="K32" t="s">
        <v>47</v>
      </c>
      <c r="M32" t="s">
        <v>27</v>
      </c>
      <c r="O32">
        <f t="shared" si="0"/>
        <v>37</v>
      </c>
      <c r="P32">
        <f t="shared" si="1"/>
        <v>37</v>
      </c>
      <c r="Q32">
        <f t="shared" si="2"/>
        <v>0</v>
      </c>
      <c r="R32" t="str">
        <f t="shared" si="3"/>
        <v>&lt;1 second</v>
      </c>
      <c r="S32">
        <f t="shared" si="4"/>
        <v>1</v>
      </c>
      <c r="T32">
        <f t="shared" si="5"/>
        <v>0.5</v>
      </c>
    </row>
    <row r="33" spans="4:20" x14ac:dyDescent="0.2">
      <c r="D33" s="3">
        <v>23.55</v>
      </c>
      <c r="E33" s="3">
        <f>D33</f>
        <v>23.55</v>
      </c>
      <c r="F33" t="s">
        <v>281</v>
      </c>
      <c r="O33">
        <f t="shared" si="0"/>
        <v>37.999999999999773</v>
      </c>
      <c r="P33">
        <f t="shared" si="1"/>
        <v>37.999999999999773</v>
      </c>
      <c r="Q33">
        <f t="shared" si="2"/>
        <v>0</v>
      </c>
      <c r="R33" t="str">
        <f t="shared" si="3"/>
        <v>&lt;1 second</v>
      </c>
      <c r="S33">
        <f t="shared" si="4"/>
        <v>1</v>
      </c>
      <c r="T33">
        <f t="shared" si="5"/>
        <v>0.5</v>
      </c>
    </row>
    <row r="34" spans="4:20" x14ac:dyDescent="0.2">
      <c r="D34" s="3">
        <v>23.55</v>
      </c>
      <c r="E34" s="3">
        <v>23.54</v>
      </c>
      <c r="F34" t="s">
        <v>282</v>
      </c>
      <c r="G34" s="14" t="s">
        <v>142</v>
      </c>
      <c r="I34" t="s">
        <v>76</v>
      </c>
      <c r="J34" t="s">
        <v>143</v>
      </c>
      <c r="K34" t="s">
        <v>26</v>
      </c>
      <c r="M34" t="s">
        <v>27</v>
      </c>
      <c r="O34">
        <f t="shared" si="0"/>
        <v>37.999999999999773</v>
      </c>
      <c r="P34">
        <f t="shared" si="1"/>
        <v>38.999999999999773</v>
      </c>
      <c r="Q34">
        <f t="shared" si="2"/>
        <v>1</v>
      </c>
      <c r="R34" t="str">
        <f t="shared" si="3"/>
        <v>&lt;2 seconds</v>
      </c>
      <c r="S34">
        <f t="shared" si="4"/>
        <v>2</v>
      </c>
      <c r="T34">
        <f t="shared" si="5"/>
        <v>1.5</v>
      </c>
    </row>
    <row r="35" spans="4:20" x14ac:dyDescent="0.2">
      <c r="D35" s="3">
        <v>23.53</v>
      </c>
      <c r="E35" s="3">
        <f>D35</f>
        <v>23.53</v>
      </c>
      <c r="F35" t="s">
        <v>278</v>
      </c>
      <c r="G35" s="14" t="s">
        <v>279</v>
      </c>
      <c r="I35" t="s">
        <v>280</v>
      </c>
      <c r="J35" t="s">
        <v>280</v>
      </c>
      <c r="K35" t="s">
        <v>42</v>
      </c>
      <c r="M35" t="s">
        <v>34</v>
      </c>
      <c r="O35">
        <f t="shared" si="0"/>
        <v>39.999999999999773</v>
      </c>
      <c r="P35">
        <f t="shared" si="1"/>
        <v>39.999999999999773</v>
      </c>
      <c r="Q35">
        <f t="shared" si="2"/>
        <v>0</v>
      </c>
      <c r="R35" t="str">
        <f t="shared" si="3"/>
        <v>&lt;1 second</v>
      </c>
      <c r="S35">
        <f t="shared" si="4"/>
        <v>1</v>
      </c>
      <c r="T35">
        <f t="shared" si="5"/>
        <v>0.5</v>
      </c>
    </row>
    <row r="36" spans="4:20" x14ac:dyDescent="0.2">
      <c r="D36" s="3">
        <v>23.52</v>
      </c>
      <c r="E36" s="3">
        <v>23.5</v>
      </c>
      <c r="F36" t="s">
        <v>283</v>
      </c>
      <c r="G36" t="s">
        <v>120</v>
      </c>
      <c r="I36" t="s">
        <v>45</v>
      </c>
      <c r="J36" t="s">
        <v>46</v>
      </c>
      <c r="K36" t="s">
        <v>91</v>
      </c>
      <c r="M36" t="s">
        <v>27</v>
      </c>
      <c r="O36">
        <f t="shared" si="0"/>
        <v>40.999999999999773</v>
      </c>
      <c r="P36">
        <f t="shared" si="1"/>
        <v>42.999999999999773</v>
      </c>
      <c r="Q36">
        <f t="shared" si="2"/>
        <v>2</v>
      </c>
      <c r="R36" t="str">
        <f t="shared" si="3"/>
        <v>&lt;3 seconds</v>
      </c>
      <c r="S36">
        <f t="shared" si="4"/>
        <v>3</v>
      </c>
      <c r="T36">
        <f t="shared" si="5"/>
        <v>2.5</v>
      </c>
    </row>
    <row r="37" spans="4:20" x14ac:dyDescent="0.2">
      <c r="D37" s="3">
        <v>23.49</v>
      </c>
      <c r="E37" s="3">
        <v>23.47</v>
      </c>
      <c r="F37" t="s">
        <v>284</v>
      </c>
      <c r="G37" t="s">
        <v>232</v>
      </c>
      <c r="I37" t="s">
        <v>45</v>
      </c>
      <c r="J37" t="s">
        <v>90</v>
      </c>
      <c r="K37" t="s">
        <v>91</v>
      </c>
      <c r="M37" t="s">
        <v>27</v>
      </c>
      <c r="O37">
        <f t="shared" si="0"/>
        <v>44</v>
      </c>
      <c r="P37">
        <f t="shared" si="1"/>
        <v>45.999999999999773</v>
      </c>
      <c r="Q37">
        <f t="shared" si="2"/>
        <v>1.9999999999997726</v>
      </c>
      <c r="R37" t="str">
        <f t="shared" si="3"/>
        <v>&lt;3 seconds</v>
      </c>
      <c r="S37">
        <f t="shared" si="4"/>
        <v>2.9999999999997726</v>
      </c>
      <c r="T37">
        <f t="shared" si="5"/>
        <v>2.4999999999997726</v>
      </c>
    </row>
    <row r="38" spans="4:20" x14ac:dyDescent="0.2">
      <c r="D38" s="3">
        <v>23.45</v>
      </c>
      <c r="E38" s="3">
        <f>D38</f>
        <v>23.45</v>
      </c>
      <c r="F38" t="s">
        <v>190</v>
      </c>
      <c r="G38" s="11" t="s">
        <v>31</v>
      </c>
      <c r="I38" t="s">
        <v>32</v>
      </c>
      <c r="J38" t="s">
        <v>32</v>
      </c>
      <c r="K38" t="s">
        <v>26</v>
      </c>
      <c r="M38" t="s">
        <v>34</v>
      </c>
      <c r="O38">
        <f t="shared" si="0"/>
        <v>47.999999999999773</v>
      </c>
      <c r="P38">
        <f t="shared" si="1"/>
        <v>47.999999999999773</v>
      </c>
      <c r="Q38">
        <f t="shared" si="2"/>
        <v>0</v>
      </c>
      <c r="R38" t="str">
        <f t="shared" si="3"/>
        <v>&lt;1 second</v>
      </c>
      <c r="S38">
        <f t="shared" si="4"/>
        <v>1</v>
      </c>
      <c r="T38">
        <f t="shared" si="5"/>
        <v>0.5</v>
      </c>
    </row>
    <row r="39" spans="4:20" x14ac:dyDescent="0.2">
      <c r="D39" s="3">
        <v>23.45</v>
      </c>
      <c r="E39" s="3">
        <f>D39</f>
        <v>23.45</v>
      </c>
      <c r="F39" t="s">
        <v>69</v>
      </c>
      <c r="G39" t="s">
        <v>49</v>
      </c>
      <c r="I39" t="s">
        <v>45</v>
      </c>
      <c r="J39" t="s">
        <v>46</v>
      </c>
      <c r="K39" t="s">
        <v>47</v>
      </c>
      <c r="M39" t="s">
        <v>27</v>
      </c>
      <c r="O39">
        <f t="shared" si="0"/>
        <v>47.999999999999773</v>
      </c>
      <c r="P39">
        <f t="shared" si="1"/>
        <v>47.999999999999773</v>
      </c>
      <c r="Q39">
        <f t="shared" si="2"/>
        <v>0</v>
      </c>
      <c r="R39" t="str">
        <f t="shared" si="3"/>
        <v>&lt;1 second</v>
      </c>
      <c r="S39">
        <f t="shared" si="4"/>
        <v>1</v>
      </c>
      <c r="T39">
        <f t="shared" si="5"/>
        <v>0.5</v>
      </c>
    </row>
    <row r="40" spans="4:20" x14ac:dyDescent="0.2">
      <c r="D40" s="3">
        <v>23.44</v>
      </c>
      <c r="E40" s="3">
        <f>D40</f>
        <v>23.44</v>
      </c>
      <c r="F40" t="s">
        <v>238</v>
      </c>
      <c r="G40" t="s">
        <v>50</v>
      </c>
      <c r="I40" t="s">
        <v>24</v>
      </c>
      <c r="J40" t="s">
        <v>51</v>
      </c>
      <c r="K40" t="s">
        <v>26</v>
      </c>
      <c r="M40" t="s">
        <v>27</v>
      </c>
      <c r="O40">
        <f t="shared" si="0"/>
        <v>48.999999999999545</v>
      </c>
      <c r="P40">
        <f t="shared" si="1"/>
        <v>48.999999999999545</v>
      </c>
      <c r="Q40">
        <f t="shared" si="2"/>
        <v>0</v>
      </c>
      <c r="R40" t="str">
        <f t="shared" si="3"/>
        <v>&lt;1 second</v>
      </c>
      <c r="S40">
        <f t="shared" si="4"/>
        <v>1</v>
      </c>
      <c r="T40">
        <f t="shared" si="5"/>
        <v>0.5</v>
      </c>
    </row>
    <row r="41" spans="4:20" x14ac:dyDescent="0.2">
      <c r="D41" s="3">
        <v>23.44</v>
      </c>
      <c r="E41" s="3">
        <f>D41</f>
        <v>23.44</v>
      </c>
      <c r="F41" t="s">
        <v>285</v>
      </c>
      <c r="G41" s="14" t="s">
        <v>286</v>
      </c>
      <c r="I41" s="19" t="s">
        <v>76</v>
      </c>
      <c r="J41" s="19" t="s">
        <v>143</v>
      </c>
      <c r="K41" t="s">
        <v>26</v>
      </c>
      <c r="M41" t="s">
        <v>27</v>
      </c>
      <c r="O41">
        <f t="shared" si="0"/>
        <v>48.999999999999545</v>
      </c>
      <c r="P41">
        <f t="shared" si="1"/>
        <v>48.999999999999545</v>
      </c>
      <c r="Q41">
        <f t="shared" si="2"/>
        <v>0</v>
      </c>
      <c r="R41" t="str">
        <f t="shared" si="3"/>
        <v>&lt;1 second</v>
      </c>
      <c r="S41">
        <f t="shared" si="4"/>
        <v>1</v>
      </c>
      <c r="T41">
        <f t="shared" si="5"/>
        <v>0.5</v>
      </c>
    </row>
    <row r="42" spans="4:20" x14ac:dyDescent="0.2">
      <c r="D42" s="3">
        <v>23.41</v>
      </c>
      <c r="E42" s="3">
        <v>23.4</v>
      </c>
      <c r="F42" t="s">
        <v>287</v>
      </c>
      <c r="G42" t="s">
        <v>120</v>
      </c>
      <c r="I42" t="s">
        <v>45</v>
      </c>
      <c r="J42" t="s">
        <v>46</v>
      </c>
      <c r="K42" t="s">
        <v>91</v>
      </c>
      <c r="M42" t="s">
        <v>27</v>
      </c>
      <c r="O42">
        <f t="shared" si="0"/>
        <v>51.999999999999773</v>
      </c>
      <c r="P42">
        <f t="shared" si="1"/>
        <v>53</v>
      </c>
      <c r="Q42">
        <f t="shared" si="2"/>
        <v>1.0000000000002274</v>
      </c>
      <c r="R42" t="str">
        <f t="shared" si="3"/>
        <v>&lt;2 seconds</v>
      </c>
      <c r="S42">
        <f t="shared" si="4"/>
        <v>2.0000000000002274</v>
      </c>
      <c r="T42">
        <f t="shared" si="5"/>
        <v>1.5000000000002274</v>
      </c>
    </row>
    <row r="43" spans="4:20" x14ac:dyDescent="0.2">
      <c r="D43" s="3">
        <v>23.32</v>
      </c>
      <c r="E43" s="3">
        <f t="shared" ref="E43:E44" si="8">D43</f>
        <v>23.32</v>
      </c>
      <c r="F43" t="s">
        <v>288</v>
      </c>
      <c r="G43" s="11" t="s">
        <v>31</v>
      </c>
      <c r="I43" t="s">
        <v>32</v>
      </c>
      <c r="J43" t="s">
        <v>32</v>
      </c>
      <c r="K43" t="s">
        <v>26</v>
      </c>
      <c r="M43" t="s">
        <v>34</v>
      </c>
      <c r="O43">
        <f t="shared" si="0"/>
        <v>60.999999999999773</v>
      </c>
      <c r="P43">
        <f t="shared" si="1"/>
        <v>60.999999999999773</v>
      </c>
      <c r="Q43">
        <f t="shared" si="2"/>
        <v>0</v>
      </c>
      <c r="R43" t="str">
        <f t="shared" si="3"/>
        <v>&lt;1 second</v>
      </c>
      <c r="S43">
        <f t="shared" si="4"/>
        <v>1</v>
      </c>
      <c r="T43">
        <f t="shared" si="5"/>
        <v>0.5</v>
      </c>
    </row>
    <row r="44" spans="4:20" x14ac:dyDescent="0.2">
      <c r="D44" s="3">
        <v>23.28</v>
      </c>
      <c r="E44" s="3">
        <f t="shared" si="8"/>
        <v>23.28</v>
      </c>
      <c r="F44" t="s">
        <v>287</v>
      </c>
      <c r="G44" t="s">
        <v>120</v>
      </c>
      <c r="I44" t="s">
        <v>45</v>
      </c>
      <c r="J44" t="s">
        <v>46</v>
      </c>
      <c r="K44" t="s">
        <v>91</v>
      </c>
      <c r="M44" t="s">
        <v>27</v>
      </c>
      <c r="O44">
        <f t="shared" si="0"/>
        <v>64.999999999999773</v>
      </c>
      <c r="P44">
        <f t="shared" si="1"/>
        <v>64.999999999999773</v>
      </c>
      <c r="Q44">
        <f t="shared" si="2"/>
        <v>0</v>
      </c>
      <c r="R44" t="str">
        <f t="shared" si="3"/>
        <v>&lt;1 second</v>
      </c>
      <c r="S44">
        <f t="shared" si="4"/>
        <v>1</v>
      </c>
      <c r="T44">
        <f t="shared" si="5"/>
        <v>0.5</v>
      </c>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500-000003000000}">
      <formula1>"EASY,MEDIUM,HARD,VERY HARD"</formula1>
    </dataValidation>
    <dataValidation type="list" allowBlank="1" showErrorMessage="1" errorTitle="Invalid value" error="Please select a valid value." sqref="K2:L1000" xr:uid="{00000000-0002-0000-0500-000004000000}">
      <formula1>"cursor,keyboard,gesture,complex gesture,multi_step,multi_input"</formula1>
    </dataValidation>
    <dataValidation type="list" allowBlank="1" showErrorMessage="1" errorTitle="Invalid value" error="Please select a valid value." sqref="M2:M1000" xr:uid="{00000000-0002-0000-0500-000006000000}">
      <formula1>"canvas,gui,layers panel"</formula1>
    </dataValidation>
  </dataValidations>
  <hyperlinks>
    <hyperlink ref="B2" r:id="rId1" xr:uid="{00000000-0004-0000-05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500-000002000000}">
          <x14:formula1>
            <xm:f>_lists!$C$2:$C$1000</xm:f>
          </x14:formula1>
          <xm:sqref>J2:J1000</xm:sqref>
        </x14:dataValidation>
        <x14:dataValidation type="list" allowBlank="1" showErrorMessage="1" errorTitle="Invalid value" error="Please select a valid value." xr:uid="{00000000-0002-0000-0500-000001000000}">
          <x14:formula1>
            <xm:f>_lists!$B$2:$B$1000</xm:f>
          </x14:formula1>
          <xm:sqref>I2:I1000</xm:sqref>
        </x14:dataValidation>
        <x14:dataValidation type="list" allowBlank="1" showErrorMessage="1" errorTitle="Invalid value" error="Please select a valid value." xr:uid="{00000000-0002-0000-0500-000000000000}">
          <x14:formula1>
            <xm:f>_lists!$A$2:$A$1000</xm:f>
          </x14:formula1>
          <xm:sqref>G2:G1000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80"/>
  <sheetViews>
    <sheetView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7.1640625" bestFit="1" customWidth="1"/>
    <col min="8" max="8" width="5.5" customWidth="1"/>
    <col min="9" max="9" width="26.83203125" customWidth="1"/>
    <col min="10" max="10" width="29.83203125" bestFit="1"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289</v>
      </c>
      <c r="B2" s="10" t="s">
        <v>290</v>
      </c>
      <c r="C2" t="s">
        <v>291</v>
      </c>
      <c r="D2" s="3">
        <v>94.02</v>
      </c>
      <c r="E2" s="3">
        <f>D2</f>
        <v>94.02</v>
      </c>
      <c r="F2" t="s">
        <v>238</v>
      </c>
      <c r="G2" t="s">
        <v>50</v>
      </c>
      <c r="I2" t="s">
        <v>24</v>
      </c>
      <c r="J2" t="s">
        <v>51</v>
      </c>
      <c r="K2" t="s">
        <v>26</v>
      </c>
      <c r="M2" t="s">
        <v>27</v>
      </c>
      <c r="O2">
        <f t="shared" ref="O2:O37" si="0">(INT(D2)*60+(D2-INT(D2))*100)-(INT($D$2)*60+($D$2-INT($D$2))*100)</f>
        <v>0</v>
      </c>
      <c r="P2">
        <f t="shared" ref="P2:P37" si="1">(INT(E2)*60+(E2-INT(E2))*100)-(INT($D$2)*60+($D$2-INT($D$2))*100)</f>
        <v>0</v>
      </c>
      <c r="Q2">
        <f t="shared" ref="Q2:Q37" si="2">P2-O2</f>
        <v>0</v>
      </c>
      <c r="R2" t="str">
        <f t="shared" ref="R2:R37" si="3">IF(Q2=0,"&lt;1 second","&lt;"&amp;(ROUND(Q2,2)+1)&amp;" seconds")</f>
        <v>&lt;1 second</v>
      </c>
      <c r="S2">
        <f t="shared" ref="S2:S37" si="4">Q2+1</f>
        <v>1</v>
      </c>
      <c r="T2">
        <f t="shared" ref="T2:T37" si="5">Q2+0.5</f>
        <v>0.5</v>
      </c>
    </row>
    <row r="3" spans="1:21" x14ac:dyDescent="0.2">
      <c r="D3" s="3">
        <v>94.02</v>
      </c>
      <c r="E3" s="3">
        <f>D3</f>
        <v>94.02</v>
      </c>
      <c r="F3" t="s">
        <v>292</v>
      </c>
      <c r="G3" t="s">
        <v>23</v>
      </c>
      <c r="I3" t="s">
        <v>24</v>
      </c>
      <c r="J3" t="s">
        <v>25</v>
      </c>
      <c r="K3" t="s">
        <v>26</v>
      </c>
      <c r="M3" t="s">
        <v>27</v>
      </c>
      <c r="O3">
        <f t="shared" si="0"/>
        <v>0</v>
      </c>
      <c r="P3">
        <f t="shared" si="1"/>
        <v>0</v>
      </c>
      <c r="Q3">
        <f t="shared" si="2"/>
        <v>0</v>
      </c>
      <c r="R3" t="str">
        <f t="shared" si="3"/>
        <v>&lt;1 second</v>
      </c>
      <c r="S3">
        <f t="shared" si="4"/>
        <v>1</v>
      </c>
      <c r="T3">
        <f t="shared" si="5"/>
        <v>0.5</v>
      </c>
    </row>
    <row r="4" spans="1:21" x14ac:dyDescent="0.2">
      <c r="D4" s="3">
        <v>94.03</v>
      </c>
      <c r="E4" s="3">
        <f>D4</f>
        <v>94.03</v>
      </c>
      <c r="F4" t="s">
        <v>293</v>
      </c>
      <c r="G4" t="s">
        <v>44</v>
      </c>
      <c r="I4" t="s">
        <v>45</v>
      </c>
      <c r="J4" t="s">
        <v>46</v>
      </c>
      <c r="K4" t="s">
        <v>47</v>
      </c>
      <c r="M4" t="s">
        <v>27</v>
      </c>
      <c r="O4">
        <f t="shared" si="0"/>
        <v>1</v>
      </c>
      <c r="P4">
        <f t="shared" si="1"/>
        <v>1</v>
      </c>
      <c r="Q4">
        <f t="shared" si="2"/>
        <v>0</v>
      </c>
      <c r="R4" t="str">
        <f t="shared" si="3"/>
        <v>&lt;1 second</v>
      </c>
      <c r="S4">
        <f t="shared" si="4"/>
        <v>1</v>
      </c>
      <c r="T4">
        <f t="shared" si="5"/>
        <v>0.5</v>
      </c>
    </row>
    <row r="5" spans="1:21" x14ac:dyDescent="0.2">
      <c r="D5" s="3">
        <v>94.03</v>
      </c>
      <c r="E5" s="3">
        <v>94.05</v>
      </c>
      <c r="F5" t="s">
        <v>294</v>
      </c>
      <c r="G5" t="s">
        <v>89</v>
      </c>
      <c r="I5" t="s">
        <v>45</v>
      </c>
      <c r="J5" t="s">
        <v>90</v>
      </c>
      <c r="K5" t="s">
        <v>91</v>
      </c>
      <c r="M5" t="s">
        <v>27</v>
      </c>
      <c r="O5">
        <f t="shared" si="0"/>
        <v>1</v>
      </c>
      <c r="P5">
        <f t="shared" si="1"/>
        <v>3</v>
      </c>
      <c r="Q5">
        <f t="shared" si="2"/>
        <v>2</v>
      </c>
      <c r="R5" t="str">
        <f t="shared" si="3"/>
        <v>&lt;3 seconds</v>
      </c>
      <c r="S5">
        <f t="shared" si="4"/>
        <v>3</v>
      </c>
      <c r="T5">
        <f t="shared" si="5"/>
        <v>2.5</v>
      </c>
    </row>
    <row r="6" spans="1:21" x14ac:dyDescent="0.2">
      <c r="D6" s="3">
        <v>94.07</v>
      </c>
      <c r="E6" s="3">
        <v>94.1</v>
      </c>
      <c r="F6" t="s">
        <v>266</v>
      </c>
      <c r="G6" s="15" t="s">
        <v>295</v>
      </c>
      <c r="I6" t="s">
        <v>45</v>
      </c>
      <c r="J6" t="s">
        <v>162</v>
      </c>
      <c r="K6" t="s">
        <v>91</v>
      </c>
      <c r="M6" t="s">
        <v>27</v>
      </c>
      <c r="O6">
        <f t="shared" si="0"/>
        <v>4.9999999999990905</v>
      </c>
      <c r="P6">
        <f t="shared" si="1"/>
        <v>7.9999999999990905</v>
      </c>
      <c r="Q6">
        <f t="shared" si="2"/>
        <v>3</v>
      </c>
      <c r="R6" t="str">
        <f t="shared" si="3"/>
        <v>&lt;4 seconds</v>
      </c>
      <c r="S6">
        <f t="shared" si="4"/>
        <v>4</v>
      </c>
      <c r="T6">
        <f t="shared" si="5"/>
        <v>3.5</v>
      </c>
    </row>
    <row r="7" spans="1:21" x14ac:dyDescent="0.2">
      <c r="D7" s="3">
        <v>94.11</v>
      </c>
      <c r="E7" s="3">
        <f>D7</f>
        <v>94.11</v>
      </c>
      <c r="F7" t="s">
        <v>296</v>
      </c>
      <c r="G7" t="s">
        <v>116</v>
      </c>
      <c r="I7" t="s">
        <v>24</v>
      </c>
      <c r="J7" t="s">
        <v>117</v>
      </c>
      <c r="K7" t="s">
        <v>26</v>
      </c>
      <c r="M7" t="s">
        <v>27</v>
      </c>
      <c r="O7">
        <f t="shared" si="0"/>
        <v>9</v>
      </c>
      <c r="P7">
        <f t="shared" si="1"/>
        <v>9</v>
      </c>
      <c r="Q7">
        <f t="shared" si="2"/>
        <v>0</v>
      </c>
      <c r="R7" t="str">
        <f t="shared" si="3"/>
        <v>&lt;1 second</v>
      </c>
      <c r="S7">
        <f t="shared" si="4"/>
        <v>1</v>
      </c>
      <c r="T7">
        <f t="shared" si="5"/>
        <v>0.5</v>
      </c>
    </row>
    <row r="8" spans="1:21" x14ac:dyDescent="0.2">
      <c r="D8" s="3">
        <v>94.13</v>
      </c>
      <c r="E8" s="3">
        <f>D8</f>
        <v>94.13</v>
      </c>
      <c r="F8" t="s">
        <v>226</v>
      </c>
      <c r="G8" t="s">
        <v>225</v>
      </c>
      <c r="I8" t="s">
        <v>226</v>
      </c>
      <c r="J8" t="s">
        <v>226</v>
      </c>
      <c r="K8" t="s">
        <v>42</v>
      </c>
      <c r="M8" t="s">
        <v>27</v>
      </c>
      <c r="O8">
        <f t="shared" si="0"/>
        <v>11</v>
      </c>
      <c r="P8">
        <f t="shared" si="1"/>
        <v>11</v>
      </c>
      <c r="Q8">
        <f t="shared" si="2"/>
        <v>0</v>
      </c>
      <c r="R8" t="str">
        <f t="shared" si="3"/>
        <v>&lt;1 second</v>
      </c>
      <c r="S8">
        <f t="shared" si="4"/>
        <v>1</v>
      </c>
      <c r="T8">
        <f t="shared" si="5"/>
        <v>0.5</v>
      </c>
    </row>
    <row r="9" spans="1:21" x14ac:dyDescent="0.2">
      <c r="D9" s="3">
        <v>94.15</v>
      </c>
      <c r="E9" s="3">
        <f>D9</f>
        <v>94.15</v>
      </c>
      <c r="F9" t="s">
        <v>297</v>
      </c>
      <c r="G9" t="s">
        <v>31</v>
      </c>
      <c r="I9" t="s">
        <v>32</v>
      </c>
      <c r="J9" t="s">
        <v>32</v>
      </c>
      <c r="K9" t="s">
        <v>26</v>
      </c>
      <c r="M9" t="s">
        <v>34</v>
      </c>
      <c r="O9">
        <f t="shared" si="0"/>
        <v>13.000000000000909</v>
      </c>
      <c r="P9">
        <f t="shared" si="1"/>
        <v>13.000000000000909</v>
      </c>
      <c r="Q9">
        <f t="shared" si="2"/>
        <v>0</v>
      </c>
      <c r="R9" t="str">
        <f t="shared" si="3"/>
        <v>&lt;1 second</v>
      </c>
      <c r="S9">
        <f t="shared" si="4"/>
        <v>1</v>
      </c>
      <c r="T9">
        <f t="shared" si="5"/>
        <v>0.5</v>
      </c>
    </row>
    <row r="10" spans="1:21" x14ac:dyDescent="0.2">
      <c r="D10" s="3">
        <v>94.16</v>
      </c>
      <c r="E10" s="3">
        <f>D10</f>
        <v>94.16</v>
      </c>
      <c r="F10" t="s">
        <v>298</v>
      </c>
      <c r="G10" t="s">
        <v>31</v>
      </c>
      <c r="I10" s="19" t="s">
        <v>32</v>
      </c>
      <c r="J10" s="19" t="s">
        <v>33</v>
      </c>
      <c r="K10" t="s">
        <v>26</v>
      </c>
      <c r="M10" t="s">
        <v>34</v>
      </c>
      <c r="O10">
        <f t="shared" si="0"/>
        <v>14</v>
      </c>
      <c r="P10">
        <f t="shared" si="1"/>
        <v>14</v>
      </c>
      <c r="Q10">
        <f t="shared" si="2"/>
        <v>0</v>
      </c>
      <c r="R10" t="str">
        <f t="shared" si="3"/>
        <v>&lt;1 second</v>
      </c>
      <c r="S10">
        <f t="shared" si="4"/>
        <v>1</v>
      </c>
      <c r="T10">
        <f t="shared" si="5"/>
        <v>0.5</v>
      </c>
    </row>
    <row r="11" spans="1:21" x14ac:dyDescent="0.2">
      <c r="D11" s="3">
        <v>94.17</v>
      </c>
      <c r="E11" s="3">
        <f>D11</f>
        <v>94.17</v>
      </c>
      <c r="F11" t="s">
        <v>299</v>
      </c>
      <c r="G11" s="15" t="s">
        <v>170</v>
      </c>
      <c r="I11" t="s">
        <v>56</v>
      </c>
      <c r="J11" t="s">
        <v>171</v>
      </c>
      <c r="K11" t="s">
        <v>26</v>
      </c>
      <c r="M11" t="s">
        <v>27</v>
      </c>
      <c r="O11">
        <f t="shared" si="0"/>
        <v>15</v>
      </c>
      <c r="P11">
        <f t="shared" si="1"/>
        <v>15</v>
      </c>
      <c r="Q11">
        <f t="shared" si="2"/>
        <v>0</v>
      </c>
      <c r="R11" t="str">
        <f t="shared" si="3"/>
        <v>&lt;1 second</v>
      </c>
      <c r="S11">
        <f t="shared" si="4"/>
        <v>1</v>
      </c>
      <c r="T11">
        <f t="shared" si="5"/>
        <v>0.5</v>
      </c>
    </row>
    <row r="12" spans="1:21" x14ac:dyDescent="0.2">
      <c r="D12" s="3">
        <v>94.17</v>
      </c>
      <c r="E12" s="3">
        <v>94.21</v>
      </c>
      <c r="F12" t="s">
        <v>300</v>
      </c>
      <c r="G12" t="s">
        <v>81</v>
      </c>
      <c r="I12" t="s">
        <v>82</v>
      </c>
      <c r="J12" t="s">
        <v>83</v>
      </c>
      <c r="K12" t="s">
        <v>26</v>
      </c>
      <c r="M12" t="s">
        <v>27</v>
      </c>
      <c r="O12">
        <f t="shared" si="0"/>
        <v>15</v>
      </c>
      <c r="P12">
        <f t="shared" si="1"/>
        <v>18.999999999999091</v>
      </c>
      <c r="Q12">
        <f t="shared" si="2"/>
        <v>3.9999999999990905</v>
      </c>
      <c r="R12" t="str">
        <f t="shared" si="3"/>
        <v>&lt;5 seconds</v>
      </c>
      <c r="S12">
        <f t="shared" si="4"/>
        <v>4.9999999999990905</v>
      </c>
      <c r="T12">
        <f t="shared" si="5"/>
        <v>4.4999999999990905</v>
      </c>
    </row>
    <row r="13" spans="1:21" x14ac:dyDescent="0.2">
      <c r="D13" s="3">
        <v>94.22</v>
      </c>
      <c r="E13" s="3">
        <v>94.23</v>
      </c>
      <c r="F13" t="s">
        <v>301</v>
      </c>
      <c r="G13" t="s">
        <v>31</v>
      </c>
      <c r="I13" t="s">
        <v>82</v>
      </c>
      <c r="J13" t="s">
        <v>125</v>
      </c>
      <c r="K13" t="s">
        <v>26</v>
      </c>
      <c r="M13" t="s">
        <v>34</v>
      </c>
      <c r="O13">
        <f t="shared" si="0"/>
        <v>20</v>
      </c>
      <c r="P13">
        <f t="shared" si="1"/>
        <v>21</v>
      </c>
      <c r="Q13">
        <f t="shared" si="2"/>
        <v>1</v>
      </c>
      <c r="R13" t="str">
        <f t="shared" si="3"/>
        <v>&lt;2 seconds</v>
      </c>
      <c r="S13">
        <f t="shared" si="4"/>
        <v>2</v>
      </c>
      <c r="T13">
        <f t="shared" si="5"/>
        <v>1.5</v>
      </c>
    </row>
    <row r="14" spans="1:21" x14ac:dyDescent="0.2">
      <c r="D14" s="3">
        <v>94.25</v>
      </c>
      <c r="E14" s="3">
        <f>D14</f>
        <v>94.25</v>
      </c>
      <c r="F14" t="s">
        <v>302</v>
      </c>
      <c r="G14" t="s">
        <v>44</v>
      </c>
      <c r="I14" t="s">
        <v>45</v>
      </c>
      <c r="J14" t="s">
        <v>46</v>
      </c>
      <c r="K14" t="s">
        <v>47</v>
      </c>
      <c r="M14" t="s">
        <v>27</v>
      </c>
      <c r="O14">
        <f t="shared" si="0"/>
        <v>23</v>
      </c>
      <c r="P14">
        <f t="shared" si="1"/>
        <v>23</v>
      </c>
      <c r="Q14">
        <f t="shared" si="2"/>
        <v>0</v>
      </c>
      <c r="R14" t="str">
        <f t="shared" si="3"/>
        <v>&lt;1 second</v>
      </c>
      <c r="S14">
        <f t="shared" si="4"/>
        <v>1</v>
      </c>
      <c r="T14">
        <f t="shared" si="5"/>
        <v>0.5</v>
      </c>
    </row>
    <row r="15" spans="1:21" x14ac:dyDescent="0.2">
      <c r="D15" s="3">
        <v>94.26</v>
      </c>
      <c r="E15" s="3">
        <v>94.28</v>
      </c>
      <c r="F15" t="s">
        <v>303</v>
      </c>
      <c r="G15" t="s">
        <v>84</v>
      </c>
      <c r="I15" t="s">
        <v>76</v>
      </c>
      <c r="J15" t="s">
        <v>85</v>
      </c>
      <c r="K15" t="s">
        <v>26</v>
      </c>
      <c r="M15" t="s">
        <v>27</v>
      </c>
      <c r="O15">
        <f t="shared" si="0"/>
        <v>24.000000000000909</v>
      </c>
      <c r="P15">
        <f t="shared" si="1"/>
        <v>26</v>
      </c>
      <c r="Q15">
        <f t="shared" si="2"/>
        <v>1.9999999999990905</v>
      </c>
      <c r="R15" t="str">
        <f t="shared" si="3"/>
        <v>&lt;3 seconds</v>
      </c>
      <c r="S15">
        <f t="shared" si="4"/>
        <v>2.9999999999990905</v>
      </c>
      <c r="T15">
        <f t="shared" si="5"/>
        <v>2.4999999999990905</v>
      </c>
    </row>
    <row r="16" spans="1:21" x14ac:dyDescent="0.2">
      <c r="D16" s="3">
        <v>94.28</v>
      </c>
      <c r="E16" s="3">
        <v>94.29</v>
      </c>
      <c r="F16" t="s">
        <v>304</v>
      </c>
      <c r="G16" t="s">
        <v>265</v>
      </c>
      <c r="I16" s="19" t="s">
        <v>76</v>
      </c>
      <c r="J16" s="19" t="s">
        <v>85</v>
      </c>
      <c r="K16" s="19" t="s">
        <v>26</v>
      </c>
      <c r="L16" s="19"/>
      <c r="M16" s="19" t="s">
        <v>27</v>
      </c>
      <c r="O16">
        <f t="shared" si="0"/>
        <v>26</v>
      </c>
      <c r="P16">
        <f t="shared" si="1"/>
        <v>27.000000000000909</v>
      </c>
      <c r="Q16">
        <f t="shared" si="2"/>
        <v>1.0000000000009095</v>
      </c>
      <c r="R16" t="str">
        <f t="shared" si="3"/>
        <v>&lt;2 seconds</v>
      </c>
      <c r="S16">
        <f t="shared" si="4"/>
        <v>2.0000000000009095</v>
      </c>
      <c r="T16">
        <f t="shared" si="5"/>
        <v>1.5000000000009095</v>
      </c>
    </row>
    <row r="17" spans="4:20" x14ac:dyDescent="0.2">
      <c r="D17" s="3">
        <v>94.29</v>
      </c>
      <c r="E17" s="3">
        <v>94.3</v>
      </c>
      <c r="F17" t="s">
        <v>305</v>
      </c>
      <c r="G17" t="s">
        <v>265</v>
      </c>
      <c r="I17" s="19" t="s">
        <v>76</v>
      </c>
      <c r="J17" s="19" t="s">
        <v>85</v>
      </c>
      <c r="K17" s="19" t="s">
        <v>26</v>
      </c>
      <c r="L17" s="19"/>
      <c r="M17" s="19" t="s">
        <v>27</v>
      </c>
      <c r="O17">
        <f t="shared" si="0"/>
        <v>27.000000000000909</v>
      </c>
      <c r="P17">
        <f t="shared" si="1"/>
        <v>28</v>
      </c>
      <c r="Q17">
        <f t="shared" si="2"/>
        <v>0.99999999999909051</v>
      </c>
      <c r="R17" t="str">
        <f t="shared" si="3"/>
        <v>&lt;2 seconds</v>
      </c>
      <c r="S17">
        <f t="shared" si="4"/>
        <v>1.9999999999990905</v>
      </c>
      <c r="T17">
        <f t="shared" si="5"/>
        <v>1.4999999999990905</v>
      </c>
    </row>
    <row r="18" spans="4:20" x14ac:dyDescent="0.2">
      <c r="D18" s="3">
        <v>94.3</v>
      </c>
      <c r="E18" s="3">
        <f>D18</f>
        <v>94.3</v>
      </c>
      <c r="G18" t="s">
        <v>265</v>
      </c>
      <c r="I18" s="19" t="s">
        <v>76</v>
      </c>
      <c r="J18" s="19" t="s">
        <v>85</v>
      </c>
      <c r="K18" s="19" t="s">
        <v>26</v>
      </c>
      <c r="L18" s="19"/>
      <c r="M18" s="19" t="s">
        <v>27</v>
      </c>
      <c r="O18">
        <f t="shared" si="0"/>
        <v>28</v>
      </c>
      <c r="P18">
        <f t="shared" si="1"/>
        <v>28</v>
      </c>
      <c r="Q18">
        <f t="shared" si="2"/>
        <v>0</v>
      </c>
      <c r="R18" t="str">
        <f t="shared" si="3"/>
        <v>&lt;1 second</v>
      </c>
      <c r="S18">
        <f t="shared" si="4"/>
        <v>1</v>
      </c>
      <c r="T18">
        <f t="shared" si="5"/>
        <v>0.5</v>
      </c>
    </row>
    <row r="19" spans="4:20" x14ac:dyDescent="0.2">
      <c r="D19" s="3">
        <v>94.3</v>
      </c>
      <c r="E19" s="3">
        <f>D19</f>
        <v>94.3</v>
      </c>
      <c r="G19" t="s">
        <v>265</v>
      </c>
      <c r="I19" s="19" t="s">
        <v>76</v>
      </c>
      <c r="J19" s="19" t="s">
        <v>85</v>
      </c>
      <c r="K19" s="19" t="s">
        <v>26</v>
      </c>
      <c r="L19" s="19"/>
      <c r="M19" s="19" t="s">
        <v>27</v>
      </c>
      <c r="O19">
        <f t="shared" si="0"/>
        <v>28</v>
      </c>
      <c r="P19">
        <f t="shared" si="1"/>
        <v>28</v>
      </c>
      <c r="Q19">
        <f t="shared" si="2"/>
        <v>0</v>
      </c>
      <c r="R19" t="str">
        <f t="shared" si="3"/>
        <v>&lt;1 second</v>
      </c>
      <c r="S19">
        <f t="shared" si="4"/>
        <v>1</v>
      </c>
      <c r="T19">
        <f t="shared" si="5"/>
        <v>0.5</v>
      </c>
    </row>
    <row r="20" spans="4:20" x14ac:dyDescent="0.2">
      <c r="D20" s="3">
        <v>94.3</v>
      </c>
      <c r="E20" s="3">
        <v>94.32</v>
      </c>
      <c r="G20" t="s">
        <v>265</v>
      </c>
      <c r="I20" s="19" t="s">
        <v>76</v>
      </c>
      <c r="J20" s="19" t="s">
        <v>85</v>
      </c>
      <c r="K20" s="19" t="s">
        <v>26</v>
      </c>
      <c r="L20" s="19"/>
      <c r="M20" s="19" t="s">
        <v>27</v>
      </c>
      <c r="O20">
        <f t="shared" si="0"/>
        <v>28</v>
      </c>
      <c r="P20">
        <f t="shared" si="1"/>
        <v>29.999999999999091</v>
      </c>
      <c r="Q20">
        <f t="shared" si="2"/>
        <v>1.9999999999990905</v>
      </c>
      <c r="R20" t="str">
        <f t="shared" si="3"/>
        <v>&lt;3 seconds</v>
      </c>
      <c r="S20">
        <f t="shared" si="4"/>
        <v>2.9999999999990905</v>
      </c>
      <c r="T20">
        <f t="shared" si="5"/>
        <v>2.4999999999990905</v>
      </c>
    </row>
    <row r="21" spans="4:20" x14ac:dyDescent="0.2">
      <c r="D21" s="3">
        <v>94.32</v>
      </c>
      <c r="E21" s="3">
        <v>94.33</v>
      </c>
      <c r="G21" t="s">
        <v>265</v>
      </c>
      <c r="I21" s="19" t="s">
        <v>76</v>
      </c>
      <c r="J21" s="19" t="s">
        <v>85</v>
      </c>
      <c r="K21" s="19" t="s">
        <v>26</v>
      </c>
      <c r="L21" s="19"/>
      <c r="M21" s="19" t="s">
        <v>27</v>
      </c>
      <c r="O21">
        <f t="shared" si="0"/>
        <v>29.999999999999091</v>
      </c>
      <c r="P21">
        <f t="shared" si="1"/>
        <v>31</v>
      </c>
      <c r="Q21">
        <f t="shared" si="2"/>
        <v>1.0000000000009095</v>
      </c>
      <c r="R21" t="str">
        <f t="shared" si="3"/>
        <v>&lt;2 seconds</v>
      </c>
      <c r="S21">
        <f t="shared" si="4"/>
        <v>2.0000000000009095</v>
      </c>
      <c r="T21">
        <f t="shared" si="5"/>
        <v>1.5000000000009095</v>
      </c>
    </row>
    <row r="22" spans="4:20" x14ac:dyDescent="0.2">
      <c r="D22" s="3">
        <v>94.33</v>
      </c>
      <c r="E22" s="3">
        <v>94.34</v>
      </c>
      <c r="G22" t="s">
        <v>265</v>
      </c>
      <c r="I22" s="19" t="s">
        <v>76</v>
      </c>
      <c r="J22" s="19" t="s">
        <v>85</v>
      </c>
      <c r="K22" s="19" t="s">
        <v>26</v>
      </c>
      <c r="L22" s="19"/>
      <c r="M22" s="19" t="s">
        <v>27</v>
      </c>
      <c r="O22">
        <f t="shared" si="0"/>
        <v>31</v>
      </c>
      <c r="P22">
        <f t="shared" si="1"/>
        <v>32</v>
      </c>
      <c r="Q22">
        <f t="shared" si="2"/>
        <v>1</v>
      </c>
      <c r="R22" t="str">
        <f t="shared" si="3"/>
        <v>&lt;2 seconds</v>
      </c>
      <c r="S22">
        <f t="shared" si="4"/>
        <v>2</v>
      </c>
      <c r="T22">
        <f t="shared" si="5"/>
        <v>1.5</v>
      </c>
    </row>
    <row r="23" spans="4:20" x14ac:dyDescent="0.2">
      <c r="D23" s="3">
        <v>94.34</v>
      </c>
      <c r="E23" s="3">
        <v>94.35</v>
      </c>
      <c r="G23" t="s">
        <v>265</v>
      </c>
      <c r="I23" s="19" t="s">
        <v>76</v>
      </c>
      <c r="J23" s="19" t="s">
        <v>85</v>
      </c>
      <c r="K23" s="19" t="s">
        <v>26</v>
      </c>
      <c r="L23" s="19"/>
      <c r="M23" s="19" t="s">
        <v>27</v>
      </c>
      <c r="O23">
        <f t="shared" si="0"/>
        <v>32</v>
      </c>
      <c r="P23">
        <f t="shared" si="1"/>
        <v>32.999999999999091</v>
      </c>
      <c r="Q23">
        <f t="shared" si="2"/>
        <v>0.99999999999909051</v>
      </c>
      <c r="R23" t="str">
        <f t="shared" si="3"/>
        <v>&lt;2 seconds</v>
      </c>
      <c r="S23">
        <f t="shared" si="4"/>
        <v>1.9999999999990905</v>
      </c>
      <c r="T23">
        <f t="shared" si="5"/>
        <v>1.4999999999990905</v>
      </c>
    </row>
    <row r="24" spans="4:20" x14ac:dyDescent="0.2">
      <c r="D24" s="3">
        <v>94.35</v>
      </c>
      <c r="E24" s="3">
        <v>94.37</v>
      </c>
      <c r="G24" t="s">
        <v>265</v>
      </c>
      <c r="I24" s="19" t="s">
        <v>76</v>
      </c>
      <c r="J24" s="19" t="s">
        <v>85</v>
      </c>
      <c r="K24" s="19" t="s">
        <v>26</v>
      </c>
      <c r="L24" s="19"/>
      <c r="M24" s="19" t="s">
        <v>27</v>
      </c>
      <c r="O24">
        <f t="shared" si="0"/>
        <v>32.999999999999091</v>
      </c>
      <c r="P24">
        <f t="shared" si="1"/>
        <v>35</v>
      </c>
      <c r="Q24">
        <f t="shared" si="2"/>
        <v>2.0000000000009095</v>
      </c>
      <c r="R24" t="str">
        <f t="shared" si="3"/>
        <v>&lt;3 seconds</v>
      </c>
      <c r="S24">
        <f t="shared" si="4"/>
        <v>3.0000000000009095</v>
      </c>
      <c r="T24">
        <f t="shared" si="5"/>
        <v>2.5000000000009095</v>
      </c>
    </row>
    <row r="25" spans="4:20" x14ac:dyDescent="0.2">
      <c r="D25" s="3">
        <v>94.39</v>
      </c>
      <c r="E25" s="3">
        <v>94.43</v>
      </c>
      <c r="G25" t="s">
        <v>108</v>
      </c>
      <c r="I25" t="s">
        <v>24</v>
      </c>
      <c r="J25" t="s">
        <v>71</v>
      </c>
      <c r="K25" t="s">
        <v>26</v>
      </c>
      <c r="M25" t="s">
        <v>27</v>
      </c>
      <c r="O25">
        <f t="shared" si="0"/>
        <v>37</v>
      </c>
      <c r="P25">
        <f t="shared" si="1"/>
        <v>41.000000000000909</v>
      </c>
      <c r="Q25">
        <f t="shared" si="2"/>
        <v>4.0000000000009095</v>
      </c>
      <c r="R25" t="str">
        <f t="shared" si="3"/>
        <v>&lt;5 seconds</v>
      </c>
      <c r="S25">
        <f t="shared" si="4"/>
        <v>5.0000000000009095</v>
      </c>
      <c r="T25">
        <f t="shared" si="5"/>
        <v>4.5000000000009095</v>
      </c>
    </row>
    <row r="26" spans="4:20" x14ac:dyDescent="0.2">
      <c r="D26" s="3">
        <v>94.43</v>
      </c>
      <c r="E26" s="3">
        <v>94.44</v>
      </c>
      <c r="G26" t="s">
        <v>63</v>
      </c>
      <c r="I26" t="s">
        <v>28</v>
      </c>
      <c r="J26" t="s">
        <v>64</v>
      </c>
      <c r="K26" t="s">
        <v>26</v>
      </c>
      <c r="M26" t="s">
        <v>65</v>
      </c>
      <c r="O26">
        <f t="shared" si="0"/>
        <v>41.000000000000909</v>
      </c>
      <c r="P26">
        <f t="shared" si="1"/>
        <v>42</v>
      </c>
      <c r="Q26">
        <f t="shared" si="2"/>
        <v>0.99999999999909051</v>
      </c>
      <c r="R26" t="str">
        <f t="shared" si="3"/>
        <v>&lt;2 seconds</v>
      </c>
      <c r="S26">
        <f t="shared" si="4"/>
        <v>1.9999999999990905</v>
      </c>
      <c r="T26">
        <f t="shared" si="5"/>
        <v>1.4999999999990905</v>
      </c>
    </row>
    <row r="27" spans="4:20" x14ac:dyDescent="0.2">
      <c r="D27" s="3">
        <v>94.45</v>
      </c>
      <c r="E27" s="3">
        <f>D27</f>
        <v>94.45</v>
      </c>
      <c r="F27" t="s">
        <v>306</v>
      </c>
      <c r="G27" t="s">
        <v>50</v>
      </c>
      <c r="I27" t="s">
        <v>24</v>
      </c>
      <c r="J27" t="s">
        <v>51</v>
      </c>
      <c r="K27" t="s">
        <v>26</v>
      </c>
      <c r="M27" t="s">
        <v>27</v>
      </c>
      <c r="O27">
        <f t="shared" si="0"/>
        <v>43</v>
      </c>
      <c r="P27">
        <f t="shared" si="1"/>
        <v>43</v>
      </c>
      <c r="Q27">
        <f t="shared" si="2"/>
        <v>0</v>
      </c>
      <c r="R27" t="str">
        <f t="shared" si="3"/>
        <v>&lt;1 second</v>
      </c>
      <c r="S27">
        <f t="shared" si="4"/>
        <v>1</v>
      </c>
      <c r="T27">
        <f t="shared" si="5"/>
        <v>0.5</v>
      </c>
    </row>
    <row r="28" spans="4:20" x14ac:dyDescent="0.2">
      <c r="D28" s="3">
        <v>94.45</v>
      </c>
      <c r="E28" s="3">
        <f>D28</f>
        <v>94.45</v>
      </c>
      <c r="F28" t="s">
        <v>307</v>
      </c>
      <c r="G28" s="15" t="s">
        <v>308</v>
      </c>
      <c r="I28" s="19" t="s">
        <v>24</v>
      </c>
      <c r="J28" s="19" t="s">
        <v>25</v>
      </c>
      <c r="K28" s="19" t="s">
        <v>26</v>
      </c>
      <c r="L28" s="19"/>
      <c r="M28" s="19" t="s">
        <v>27</v>
      </c>
      <c r="O28">
        <f t="shared" si="0"/>
        <v>43</v>
      </c>
      <c r="P28">
        <f t="shared" si="1"/>
        <v>43</v>
      </c>
      <c r="Q28">
        <f t="shared" si="2"/>
        <v>0</v>
      </c>
      <c r="R28" t="str">
        <f t="shared" si="3"/>
        <v>&lt;1 second</v>
      </c>
      <c r="S28">
        <f t="shared" si="4"/>
        <v>1</v>
      </c>
      <c r="T28">
        <f t="shared" si="5"/>
        <v>0.5</v>
      </c>
    </row>
    <row r="29" spans="4:20" x14ac:dyDescent="0.2">
      <c r="D29" s="3">
        <v>94.48</v>
      </c>
      <c r="E29" s="3">
        <f>D29</f>
        <v>94.48</v>
      </c>
      <c r="G29" t="s">
        <v>309</v>
      </c>
      <c r="I29" t="s">
        <v>80</v>
      </c>
      <c r="J29" t="s">
        <v>80</v>
      </c>
      <c r="K29" t="s">
        <v>42</v>
      </c>
      <c r="M29" t="s">
        <v>27</v>
      </c>
      <c r="O29">
        <f t="shared" si="0"/>
        <v>46</v>
      </c>
      <c r="P29">
        <f t="shared" si="1"/>
        <v>46</v>
      </c>
      <c r="Q29">
        <f t="shared" si="2"/>
        <v>0</v>
      </c>
      <c r="R29" t="str">
        <f t="shared" si="3"/>
        <v>&lt;1 second</v>
      </c>
      <c r="S29">
        <f t="shared" si="4"/>
        <v>1</v>
      </c>
      <c r="T29">
        <f t="shared" si="5"/>
        <v>0.5</v>
      </c>
    </row>
    <row r="30" spans="4:20" x14ac:dyDescent="0.2">
      <c r="D30" s="3">
        <v>94.48</v>
      </c>
      <c r="E30" s="3">
        <v>94.5</v>
      </c>
      <c r="F30" t="s">
        <v>310</v>
      </c>
      <c r="G30" t="s">
        <v>31</v>
      </c>
      <c r="I30" t="s">
        <v>32</v>
      </c>
      <c r="J30" t="s">
        <v>32</v>
      </c>
      <c r="K30" s="24" t="s">
        <v>26</v>
      </c>
      <c r="M30" t="s">
        <v>34</v>
      </c>
      <c r="O30">
        <f t="shared" si="0"/>
        <v>46</v>
      </c>
      <c r="P30">
        <f t="shared" si="1"/>
        <v>48</v>
      </c>
      <c r="Q30">
        <f t="shared" si="2"/>
        <v>2</v>
      </c>
      <c r="R30" t="str">
        <f t="shared" si="3"/>
        <v>&lt;3 seconds</v>
      </c>
      <c r="S30">
        <f t="shared" si="4"/>
        <v>3</v>
      </c>
      <c r="T30">
        <f t="shared" si="5"/>
        <v>2.5</v>
      </c>
    </row>
    <row r="31" spans="4:20" x14ac:dyDescent="0.2">
      <c r="D31" s="3">
        <v>94.5</v>
      </c>
      <c r="E31" s="3">
        <v>94.52</v>
      </c>
      <c r="F31" t="s">
        <v>311</v>
      </c>
      <c r="G31" t="s">
        <v>261</v>
      </c>
      <c r="I31" t="s">
        <v>114</v>
      </c>
      <c r="J31" t="s">
        <v>53</v>
      </c>
      <c r="K31" t="s">
        <v>26</v>
      </c>
      <c r="M31" t="s">
        <v>27</v>
      </c>
      <c r="O31">
        <f t="shared" si="0"/>
        <v>48</v>
      </c>
      <c r="P31">
        <f t="shared" si="1"/>
        <v>50</v>
      </c>
      <c r="Q31">
        <f t="shared" si="2"/>
        <v>2</v>
      </c>
      <c r="R31" t="str">
        <f t="shared" si="3"/>
        <v>&lt;3 seconds</v>
      </c>
      <c r="S31">
        <f t="shared" si="4"/>
        <v>3</v>
      </c>
      <c r="T31">
        <f t="shared" si="5"/>
        <v>2.5</v>
      </c>
    </row>
    <row r="32" spans="4:20" x14ac:dyDescent="0.2">
      <c r="D32" s="3">
        <v>94.53</v>
      </c>
      <c r="E32" s="3">
        <f>D32</f>
        <v>94.53</v>
      </c>
      <c r="F32" t="s">
        <v>312</v>
      </c>
      <c r="G32" t="s">
        <v>31</v>
      </c>
      <c r="I32" t="s">
        <v>32</v>
      </c>
      <c r="J32" t="s">
        <v>32</v>
      </c>
      <c r="K32" t="s">
        <v>26</v>
      </c>
      <c r="M32" t="s">
        <v>34</v>
      </c>
      <c r="O32">
        <f t="shared" si="0"/>
        <v>51</v>
      </c>
      <c r="P32">
        <f t="shared" si="1"/>
        <v>51</v>
      </c>
      <c r="Q32">
        <f t="shared" si="2"/>
        <v>0</v>
      </c>
      <c r="R32" t="str">
        <f t="shared" si="3"/>
        <v>&lt;1 second</v>
      </c>
      <c r="S32">
        <f t="shared" si="4"/>
        <v>1</v>
      </c>
      <c r="T32">
        <f t="shared" si="5"/>
        <v>0.5</v>
      </c>
    </row>
    <row r="33" spans="4:20" x14ac:dyDescent="0.2">
      <c r="D33" s="3">
        <v>94.53</v>
      </c>
      <c r="E33" s="3">
        <v>94.57</v>
      </c>
      <c r="F33" t="s">
        <v>313</v>
      </c>
      <c r="G33" t="s">
        <v>295</v>
      </c>
      <c r="I33" t="s">
        <v>45</v>
      </c>
      <c r="J33" t="s">
        <v>162</v>
      </c>
      <c r="K33" t="s">
        <v>91</v>
      </c>
      <c r="M33" t="s">
        <v>27</v>
      </c>
      <c r="O33">
        <f t="shared" si="0"/>
        <v>51</v>
      </c>
      <c r="P33">
        <f t="shared" si="1"/>
        <v>54.999999999999091</v>
      </c>
      <c r="Q33">
        <f t="shared" si="2"/>
        <v>3.9999999999990905</v>
      </c>
      <c r="R33" t="str">
        <f t="shared" si="3"/>
        <v>&lt;5 seconds</v>
      </c>
      <c r="S33">
        <f t="shared" si="4"/>
        <v>4.9999999999990905</v>
      </c>
      <c r="T33">
        <f t="shared" si="5"/>
        <v>4.4999999999990905</v>
      </c>
    </row>
    <row r="34" spans="4:20" x14ac:dyDescent="0.2">
      <c r="D34" s="3">
        <v>94.58</v>
      </c>
      <c r="E34" s="3">
        <f>D34</f>
        <v>94.58</v>
      </c>
      <c r="G34" t="s">
        <v>23</v>
      </c>
      <c r="I34" t="s">
        <v>24</v>
      </c>
      <c r="J34" t="s">
        <v>25</v>
      </c>
      <c r="K34" t="s">
        <v>26</v>
      </c>
      <c r="M34" t="s">
        <v>27</v>
      </c>
      <c r="O34">
        <f t="shared" si="0"/>
        <v>56</v>
      </c>
      <c r="P34">
        <f t="shared" si="1"/>
        <v>56</v>
      </c>
      <c r="Q34">
        <f t="shared" si="2"/>
        <v>0</v>
      </c>
      <c r="R34" t="str">
        <f t="shared" si="3"/>
        <v>&lt;1 second</v>
      </c>
      <c r="S34">
        <f t="shared" si="4"/>
        <v>1</v>
      </c>
      <c r="T34">
        <f t="shared" si="5"/>
        <v>0.5</v>
      </c>
    </row>
    <row r="35" spans="4:20" x14ac:dyDescent="0.2">
      <c r="D35" s="3">
        <v>94.58</v>
      </c>
      <c r="E35" s="3">
        <f>D35</f>
        <v>94.58</v>
      </c>
      <c r="G35" t="s">
        <v>353</v>
      </c>
      <c r="I35" t="s">
        <v>28</v>
      </c>
      <c r="J35" t="s">
        <v>29</v>
      </c>
      <c r="K35" t="s">
        <v>26</v>
      </c>
      <c r="M35" t="s">
        <v>27</v>
      </c>
      <c r="O35">
        <f t="shared" si="0"/>
        <v>56</v>
      </c>
      <c r="P35">
        <f t="shared" si="1"/>
        <v>56</v>
      </c>
      <c r="Q35">
        <f t="shared" si="2"/>
        <v>0</v>
      </c>
      <c r="R35" t="str">
        <f t="shared" si="3"/>
        <v>&lt;1 second</v>
      </c>
      <c r="S35">
        <f t="shared" si="4"/>
        <v>1</v>
      </c>
      <c r="T35">
        <f t="shared" si="5"/>
        <v>0.5</v>
      </c>
    </row>
    <row r="36" spans="4:20" x14ac:dyDescent="0.2">
      <c r="D36" s="3">
        <v>94.58</v>
      </c>
      <c r="E36" s="3">
        <f>D36</f>
        <v>94.58</v>
      </c>
      <c r="G36" t="s">
        <v>50</v>
      </c>
      <c r="I36" t="s">
        <v>24</v>
      </c>
      <c r="J36" t="s">
        <v>51</v>
      </c>
      <c r="K36" t="s">
        <v>26</v>
      </c>
      <c r="M36" t="s">
        <v>27</v>
      </c>
      <c r="O36">
        <f t="shared" si="0"/>
        <v>56</v>
      </c>
      <c r="P36">
        <f t="shared" si="1"/>
        <v>56</v>
      </c>
      <c r="Q36">
        <f t="shared" si="2"/>
        <v>0</v>
      </c>
      <c r="R36" t="str">
        <f t="shared" si="3"/>
        <v>&lt;1 second</v>
      </c>
      <c r="S36">
        <f t="shared" si="4"/>
        <v>1</v>
      </c>
      <c r="T36">
        <f t="shared" si="5"/>
        <v>0.5</v>
      </c>
    </row>
    <row r="37" spans="4:20" x14ac:dyDescent="0.2">
      <c r="D37" s="3">
        <v>95.01</v>
      </c>
      <c r="E37" s="3">
        <v>95.02</v>
      </c>
      <c r="G37" t="s">
        <v>108</v>
      </c>
      <c r="I37" t="s">
        <v>24</v>
      </c>
      <c r="J37" t="s">
        <v>71</v>
      </c>
      <c r="K37" t="s">
        <v>26</v>
      </c>
      <c r="M37" t="s">
        <v>27</v>
      </c>
      <c r="O37">
        <f t="shared" si="0"/>
        <v>59.000000000000909</v>
      </c>
      <c r="P37">
        <f t="shared" si="1"/>
        <v>60</v>
      </c>
      <c r="Q37">
        <f t="shared" si="2"/>
        <v>0.99999999999909051</v>
      </c>
      <c r="R37" t="str">
        <f t="shared" si="3"/>
        <v>&lt;2 seconds</v>
      </c>
      <c r="S37">
        <f t="shared" si="4"/>
        <v>1.9999999999990905</v>
      </c>
      <c r="T37">
        <f t="shared" si="5"/>
        <v>1.4999999999990905</v>
      </c>
    </row>
    <row r="38" spans="4:20" x14ac:dyDescent="0.2">
      <c r="E38" s="3"/>
    </row>
    <row r="39" spans="4:20" x14ac:dyDescent="0.2">
      <c r="E39" s="3"/>
    </row>
    <row r="40" spans="4:20" x14ac:dyDescent="0.2">
      <c r="E40" s="3"/>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600-000003000000}">
      <formula1>"EASY,MEDIUM,HARD,VERY HARD"</formula1>
    </dataValidation>
    <dataValidation type="list" allowBlank="1" showErrorMessage="1" errorTitle="Invalid value" error="Please select a valid value." sqref="K2:L1000" xr:uid="{00000000-0002-0000-0600-000004000000}">
      <formula1>"cursor,keyboard,gesture,complex gesture,multi_step,multi_input"</formula1>
    </dataValidation>
    <dataValidation type="list" allowBlank="1" showErrorMessage="1" errorTitle="Invalid value" error="Please select a valid value." sqref="M2:M1000" xr:uid="{00000000-0002-0000-0600-000006000000}">
      <formula1>"canvas,gui,layers panel"</formula1>
    </dataValidation>
  </dataValidations>
  <hyperlinks>
    <hyperlink ref="B2" r:id="rId1" xr:uid="{00000000-0004-0000-06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600-000002000000}">
          <x14:formula1>
            <xm:f>_lists!$C$2:$C$1000</xm:f>
          </x14:formula1>
          <xm:sqref>J2:J1000</xm:sqref>
        </x14:dataValidation>
        <x14:dataValidation type="list" allowBlank="1" showErrorMessage="1" errorTitle="Invalid value" error="Please select a valid value." xr:uid="{00000000-0002-0000-0600-000001000000}">
          <x14:formula1>
            <xm:f>_lists!$B$2:$B$1000</xm:f>
          </x14:formula1>
          <xm:sqref>I2:I1000</xm:sqref>
        </x14:dataValidation>
        <x14:dataValidation type="list" allowBlank="1" showErrorMessage="1" errorTitle="Invalid value" error="Please select a valid value." xr:uid="{00000000-0002-0000-0600-000000000000}">
          <x14:formula1>
            <xm:f>_lists!$A$2:$A$1000</xm:f>
          </x14:formula1>
          <xm:sqref>G2:G1000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80"/>
  <sheetViews>
    <sheetView zoomScale="170"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6.5" bestFit="1" customWidth="1"/>
    <col min="7" max="7" width="64.1640625" customWidth="1"/>
    <col min="8" max="8" width="5.83203125" customWidth="1"/>
    <col min="9" max="9" width="26.83203125" customWidth="1"/>
    <col min="10" max="10" width="18" bestFit="1" customWidth="1"/>
    <col min="11" max="11" width="15" customWidth="1"/>
    <col min="12" max="12" width="11.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21</v>
      </c>
      <c r="B2" s="10" t="s">
        <v>314</v>
      </c>
      <c r="C2" t="s">
        <v>315</v>
      </c>
      <c r="D2" s="3">
        <v>14.57</v>
      </c>
      <c r="E2" s="3">
        <v>14.59</v>
      </c>
      <c r="F2" t="s">
        <v>316</v>
      </c>
      <c r="G2" t="s">
        <v>120</v>
      </c>
      <c r="I2" t="s">
        <v>45</v>
      </c>
      <c r="J2" t="s">
        <v>46</v>
      </c>
      <c r="K2" t="s">
        <v>91</v>
      </c>
      <c r="M2" t="s">
        <v>27</v>
      </c>
      <c r="O2">
        <f t="shared" ref="O2:O40" si="0">(INT(D2)*60+(D2-INT(D2))*100)-(INT($D$2)*60+($D$2-INT($D$2))*100)</f>
        <v>0</v>
      </c>
      <c r="P2">
        <f t="shared" ref="P2:P40" si="1">(INT(E2)*60+(E2-INT(E2))*100)-(INT($D$2)*60+($D$2-INT($D$2))*100)</f>
        <v>2</v>
      </c>
      <c r="Q2">
        <f t="shared" ref="Q2:Q40" si="2">P2-O2</f>
        <v>2</v>
      </c>
      <c r="R2" t="str">
        <f t="shared" ref="R2:R40" si="3">IF(Q2=0,"&lt;1 second","&lt;"&amp;(ROUND(Q2,2)+1)&amp;" seconds")</f>
        <v>&lt;3 seconds</v>
      </c>
      <c r="S2">
        <f t="shared" ref="S2:S40" si="4">Q2+1</f>
        <v>3</v>
      </c>
      <c r="T2">
        <f t="shared" ref="T2:T40" si="5">Q2+0.5</f>
        <v>2.5</v>
      </c>
    </row>
    <row r="3" spans="1:21" x14ac:dyDescent="0.2">
      <c r="D3" s="3">
        <v>14.59</v>
      </c>
      <c r="E3" s="3">
        <v>14.59</v>
      </c>
      <c r="F3" t="s">
        <v>317</v>
      </c>
      <c r="G3" t="s">
        <v>161</v>
      </c>
      <c r="I3" t="s">
        <v>45</v>
      </c>
      <c r="J3" t="s">
        <v>162</v>
      </c>
      <c r="K3" t="s">
        <v>91</v>
      </c>
      <c r="M3" t="s">
        <v>27</v>
      </c>
      <c r="O3">
        <f t="shared" si="0"/>
        <v>2</v>
      </c>
      <c r="P3">
        <f t="shared" si="1"/>
        <v>2</v>
      </c>
      <c r="Q3">
        <f t="shared" si="2"/>
        <v>0</v>
      </c>
      <c r="R3" t="str">
        <f t="shared" si="3"/>
        <v>&lt;1 second</v>
      </c>
      <c r="S3">
        <f t="shared" si="4"/>
        <v>1</v>
      </c>
      <c r="T3">
        <f t="shared" si="5"/>
        <v>0.5</v>
      </c>
    </row>
    <row r="4" spans="1:21" x14ac:dyDescent="0.2">
      <c r="D4" s="3">
        <v>15</v>
      </c>
      <c r="E4" s="3">
        <v>15.01</v>
      </c>
      <c r="F4" t="s">
        <v>318</v>
      </c>
      <c r="G4" t="s">
        <v>31</v>
      </c>
      <c r="I4" t="s">
        <v>32</v>
      </c>
      <c r="J4" t="s">
        <v>32</v>
      </c>
      <c r="K4" s="24" t="s">
        <v>26</v>
      </c>
      <c r="M4" t="s">
        <v>34</v>
      </c>
      <c r="O4">
        <f t="shared" si="0"/>
        <v>3</v>
      </c>
      <c r="P4">
        <f t="shared" si="1"/>
        <v>4</v>
      </c>
      <c r="Q4">
        <f t="shared" si="2"/>
        <v>1</v>
      </c>
      <c r="R4" t="str">
        <f t="shared" si="3"/>
        <v>&lt;2 seconds</v>
      </c>
      <c r="S4">
        <f t="shared" si="4"/>
        <v>2</v>
      </c>
      <c r="T4">
        <f t="shared" si="5"/>
        <v>1.5</v>
      </c>
    </row>
    <row r="5" spans="1:21" x14ac:dyDescent="0.2">
      <c r="D5" s="3">
        <v>15.01</v>
      </c>
      <c r="E5" s="3">
        <v>15.02</v>
      </c>
      <c r="F5" t="s">
        <v>69</v>
      </c>
      <c r="G5" t="s">
        <v>49</v>
      </c>
      <c r="I5" s="11" t="s">
        <v>45</v>
      </c>
      <c r="J5" t="s">
        <v>46</v>
      </c>
      <c r="K5" t="s">
        <v>47</v>
      </c>
      <c r="M5" t="s">
        <v>27</v>
      </c>
      <c r="O5">
        <f t="shared" si="0"/>
        <v>4</v>
      </c>
      <c r="P5">
        <f t="shared" si="1"/>
        <v>5</v>
      </c>
      <c r="Q5">
        <f t="shared" si="2"/>
        <v>1</v>
      </c>
      <c r="R5" t="str">
        <f t="shared" si="3"/>
        <v>&lt;2 seconds</v>
      </c>
      <c r="S5">
        <f t="shared" si="4"/>
        <v>2</v>
      </c>
      <c r="T5">
        <f t="shared" si="5"/>
        <v>1.5</v>
      </c>
    </row>
    <row r="6" spans="1:21" x14ac:dyDescent="0.2">
      <c r="D6" s="3">
        <v>15.02</v>
      </c>
      <c r="E6" s="3">
        <f>D6</f>
        <v>15.02</v>
      </c>
      <c r="G6" t="s">
        <v>44</v>
      </c>
      <c r="I6" s="11" t="s">
        <v>45</v>
      </c>
      <c r="J6" t="s">
        <v>46</v>
      </c>
      <c r="K6" t="s">
        <v>47</v>
      </c>
      <c r="M6" t="s">
        <v>27</v>
      </c>
      <c r="O6">
        <f t="shared" si="0"/>
        <v>5</v>
      </c>
      <c r="P6">
        <f t="shared" si="1"/>
        <v>5</v>
      </c>
      <c r="Q6">
        <f t="shared" si="2"/>
        <v>0</v>
      </c>
      <c r="R6" t="str">
        <f t="shared" si="3"/>
        <v>&lt;1 second</v>
      </c>
      <c r="S6">
        <f t="shared" si="4"/>
        <v>1</v>
      </c>
      <c r="T6">
        <f t="shared" si="5"/>
        <v>0.5</v>
      </c>
    </row>
    <row r="7" spans="1:21" x14ac:dyDescent="0.2">
      <c r="D7" s="3">
        <v>15.02</v>
      </c>
      <c r="E7" s="3">
        <v>15.14</v>
      </c>
      <c r="F7" t="s">
        <v>319</v>
      </c>
      <c r="G7" t="s">
        <v>31</v>
      </c>
      <c r="I7" t="s">
        <v>32</v>
      </c>
      <c r="J7" t="s">
        <v>32</v>
      </c>
      <c r="K7" s="24" t="s">
        <v>26</v>
      </c>
      <c r="M7" t="s">
        <v>34</v>
      </c>
      <c r="O7">
        <f t="shared" si="0"/>
        <v>5</v>
      </c>
      <c r="P7">
        <f t="shared" si="1"/>
        <v>17</v>
      </c>
      <c r="Q7">
        <f t="shared" si="2"/>
        <v>12</v>
      </c>
      <c r="R7" t="str">
        <f t="shared" si="3"/>
        <v>&lt;13 seconds</v>
      </c>
      <c r="S7">
        <f t="shared" si="4"/>
        <v>13</v>
      </c>
      <c r="T7">
        <f t="shared" si="5"/>
        <v>12.5</v>
      </c>
    </row>
    <row r="8" spans="1:21" x14ac:dyDescent="0.2">
      <c r="D8" s="3">
        <v>15.14</v>
      </c>
      <c r="E8" s="3">
        <f>D8</f>
        <v>15.14</v>
      </c>
      <c r="F8" t="s">
        <v>320</v>
      </c>
      <c r="G8" s="19" t="s">
        <v>321</v>
      </c>
      <c r="H8" s="19"/>
      <c r="I8" s="19" t="s">
        <v>56</v>
      </c>
      <c r="J8" s="19" t="s">
        <v>322</v>
      </c>
      <c r="K8" s="19" t="s">
        <v>26</v>
      </c>
      <c r="L8" s="19"/>
      <c r="M8" s="19" t="s">
        <v>27</v>
      </c>
      <c r="O8">
        <f t="shared" si="0"/>
        <v>17</v>
      </c>
      <c r="P8">
        <f t="shared" si="1"/>
        <v>17</v>
      </c>
      <c r="Q8">
        <f t="shared" si="2"/>
        <v>0</v>
      </c>
      <c r="R8" t="str">
        <f t="shared" si="3"/>
        <v>&lt;1 second</v>
      </c>
      <c r="S8">
        <f t="shared" si="4"/>
        <v>1</v>
      </c>
      <c r="T8">
        <f t="shared" si="5"/>
        <v>0.5</v>
      </c>
    </row>
    <row r="9" spans="1:21" x14ac:dyDescent="0.2">
      <c r="D9" s="3">
        <v>15.15</v>
      </c>
      <c r="E9" s="3">
        <v>15.16</v>
      </c>
      <c r="F9" t="s">
        <v>323</v>
      </c>
      <c r="G9" t="s">
        <v>75</v>
      </c>
      <c r="I9" t="s">
        <v>76</v>
      </c>
      <c r="J9" t="s">
        <v>77</v>
      </c>
      <c r="K9" t="s">
        <v>26</v>
      </c>
      <c r="M9" t="s">
        <v>27</v>
      </c>
      <c r="O9">
        <f t="shared" si="0"/>
        <v>18</v>
      </c>
      <c r="P9">
        <f t="shared" si="1"/>
        <v>19</v>
      </c>
      <c r="Q9">
        <f t="shared" si="2"/>
        <v>1</v>
      </c>
      <c r="R9" t="str">
        <f t="shared" si="3"/>
        <v>&lt;2 seconds</v>
      </c>
      <c r="S9">
        <f t="shared" si="4"/>
        <v>2</v>
      </c>
      <c r="T9">
        <f t="shared" si="5"/>
        <v>1.5</v>
      </c>
    </row>
    <row r="10" spans="1:21" x14ac:dyDescent="0.2">
      <c r="D10" s="3">
        <v>15.17</v>
      </c>
      <c r="E10" s="3">
        <v>15.27</v>
      </c>
      <c r="F10" t="s">
        <v>324</v>
      </c>
      <c r="G10" t="s">
        <v>31</v>
      </c>
      <c r="I10" t="s">
        <v>32</v>
      </c>
      <c r="J10" t="s">
        <v>32</v>
      </c>
      <c r="K10" s="24" t="s">
        <v>26</v>
      </c>
      <c r="M10" t="s">
        <v>34</v>
      </c>
      <c r="O10">
        <f t="shared" si="0"/>
        <v>20</v>
      </c>
      <c r="P10">
        <f t="shared" si="1"/>
        <v>30</v>
      </c>
      <c r="Q10">
        <f t="shared" si="2"/>
        <v>10</v>
      </c>
      <c r="R10" t="str">
        <f t="shared" si="3"/>
        <v>&lt;11 seconds</v>
      </c>
      <c r="S10">
        <f t="shared" si="4"/>
        <v>11</v>
      </c>
      <c r="T10">
        <f t="shared" si="5"/>
        <v>10.5</v>
      </c>
    </row>
    <row r="11" spans="1:21" x14ac:dyDescent="0.2">
      <c r="D11" s="3">
        <v>15.27</v>
      </c>
      <c r="E11" s="3">
        <f>D11</f>
        <v>15.27</v>
      </c>
      <c r="F11" t="s">
        <v>320</v>
      </c>
      <c r="G11" s="19" t="s">
        <v>321</v>
      </c>
      <c r="H11" s="19"/>
      <c r="I11" s="19" t="s">
        <v>56</v>
      </c>
      <c r="J11" s="19" t="s">
        <v>322</v>
      </c>
      <c r="K11" s="19" t="s">
        <v>26</v>
      </c>
      <c r="L11" s="19"/>
      <c r="M11" s="19" t="s">
        <v>27</v>
      </c>
      <c r="O11">
        <f t="shared" si="0"/>
        <v>30</v>
      </c>
      <c r="P11">
        <f t="shared" si="1"/>
        <v>30</v>
      </c>
      <c r="Q11">
        <f t="shared" si="2"/>
        <v>0</v>
      </c>
      <c r="R11" t="str">
        <f t="shared" si="3"/>
        <v>&lt;1 second</v>
      </c>
      <c r="S11">
        <f t="shared" si="4"/>
        <v>1</v>
      </c>
      <c r="T11">
        <f t="shared" si="5"/>
        <v>0.5</v>
      </c>
    </row>
    <row r="12" spans="1:21" x14ac:dyDescent="0.2">
      <c r="D12" s="3">
        <v>15.28</v>
      </c>
      <c r="E12" s="3">
        <v>15.29</v>
      </c>
      <c r="G12" t="s">
        <v>268</v>
      </c>
      <c r="I12" t="s">
        <v>76</v>
      </c>
      <c r="J12" t="s">
        <v>85</v>
      </c>
      <c r="K12" t="s">
        <v>26</v>
      </c>
      <c r="M12" t="s">
        <v>27</v>
      </c>
      <c r="O12">
        <f t="shared" si="0"/>
        <v>30.999999999999886</v>
      </c>
      <c r="P12">
        <f t="shared" si="1"/>
        <v>31.999999999999886</v>
      </c>
      <c r="Q12">
        <f t="shared" si="2"/>
        <v>1</v>
      </c>
      <c r="R12" t="str">
        <f t="shared" si="3"/>
        <v>&lt;2 seconds</v>
      </c>
      <c r="S12">
        <f t="shared" si="4"/>
        <v>2</v>
      </c>
      <c r="T12">
        <f t="shared" si="5"/>
        <v>1.5</v>
      </c>
    </row>
    <row r="13" spans="1:21" x14ac:dyDescent="0.2">
      <c r="D13" s="3">
        <v>15.29</v>
      </c>
      <c r="E13" s="3">
        <v>15.35</v>
      </c>
      <c r="G13" t="s">
        <v>31</v>
      </c>
      <c r="I13" t="s">
        <v>32</v>
      </c>
      <c r="J13" t="s">
        <v>32</v>
      </c>
      <c r="K13" t="s">
        <v>26</v>
      </c>
      <c r="M13" t="s">
        <v>34</v>
      </c>
      <c r="O13">
        <f t="shared" si="0"/>
        <v>31.999999999999886</v>
      </c>
      <c r="P13">
        <f t="shared" si="1"/>
        <v>38</v>
      </c>
      <c r="Q13">
        <f t="shared" si="2"/>
        <v>6.0000000000001137</v>
      </c>
      <c r="R13" t="str">
        <f t="shared" si="3"/>
        <v>&lt;7 seconds</v>
      </c>
      <c r="S13">
        <f t="shared" si="4"/>
        <v>7.0000000000001137</v>
      </c>
      <c r="T13">
        <f t="shared" si="5"/>
        <v>6.5000000000001137</v>
      </c>
    </row>
    <row r="14" spans="1:21" x14ac:dyDescent="0.2">
      <c r="D14" s="3">
        <v>15.35</v>
      </c>
      <c r="E14" s="3">
        <f>D14</f>
        <v>15.35</v>
      </c>
      <c r="G14" s="19" t="s">
        <v>321</v>
      </c>
      <c r="H14" s="19"/>
      <c r="I14" s="19" t="s">
        <v>56</v>
      </c>
      <c r="J14" s="19" t="s">
        <v>322</v>
      </c>
      <c r="K14" s="19" t="s">
        <v>26</v>
      </c>
      <c r="L14" s="19"/>
      <c r="M14" s="19" t="s">
        <v>27</v>
      </c>
      <c r="O14">
        <f t="shared" si="0"/>
        <v>38</v>
      </c>
      <c r="P14">
        <f t="shared" si="1"/>
        <v>38</v>
      </c>
      <c r="Q14">
        <f t="shared" si="2"/>
        <v>0</v>
      </c>
      <c r="R14" t="str">
        <f t="shared" si="3"/>
        <v>&lt;1 second</v>
      </c>
      <c r="S14">
        <f t="shared" si="4"/>
        <v>1</v>
      </c>
      <c r="T14">
        <f t="shared" si="5"/>
        <v>0.5</v>
      </c>
    </row>
    <row r="15" spans="1:21" x14ac:dyDescent="0.2">
      <c r="D15" s="3">
        <v>15.36</v>
      </c>
      <c r="E15" s="3">
        <f>D15</f>
        <v>15.36</v>
      </c>
      <c r="G15" t="s">
        <v>75</v>
      </c>
      <c r="I15" t="s">
        <v>76</v>
      </c>
      <c r="J15" t="s">
        <v>77</v>
      </c>
      <c r="K15" t="s">
        <v>26</v>
      </c>
      <c r="M15" t="s">
        <v>27</v>
      </c>
      <c r="O15">
        <f t="shared" si="0"/>
        <v>39</v>
      </c>
      <c r="P15">
        <f t="shared" si="1"/>
        <v>39</v>
      </c>
      <c r="Q15">
        <f t="shared" si="2"/>
        <v>0</v>
      </c>
      <c r="R15" t="str">
        <f t="shared" si="3"/>
        <v>&lt;1 second</v>
      </c>
      <c r="S15">
        <f t="shared" si="4"/>
        <v>1</v>
      </c>
      <c r="T15">
        <f t="shared" si="5"/>
        <v>0.5</v>
      </c>
    </row>
    <row r="16" spans="1:21" x14ac:dyDescent="0.2">
      <c r="D16" s="3">
        <v>15.37</v>
      </c>
      <c r="E16" s="3">
        <v>15.39</v>
      </c>
      <c r="G16" t="s">
        <v>108</v>
      </c>
      <c r="I16" t="s">
        <v>24</v>
      </c>
      <c r="J16" t="s">
        <v>71</v>
      </c>
      <c r="K16" t="s">
        <v>26</v>
      </c>
      <c r="M16" t="s">
        <v>27</v>
      </c>
      <c r="O16">
        <f t="shared" si="0"/>
        <v>39.999999999999886</v>
      </c>
      <c r="P16">
        <f t="shared" si="1"/>
        <v>42</v>
      </c>
      <c r="Q16">
        <f t="shared" si="2"/>
        <v>2.0000000000001137</v>
      </c>
      <c r="R16" t="str">
        <f t="shared" si="3"/>
        <v>&lt;3 seconds</v>
      </c>
      <c r="S16">
        <f t="shared" si="4"/>
        <v>3.0000000000001137</v>
      </c>
      <c r="T16">
        <f t="shared" si="5"/>
        <v>2.5000000000001137</v>
      </c>
    </row>
    <row r="17" spans="4:20" x14ac:dyDescent="0.2">
      <c r="D17" s="3">
        <v>15.39</v>
      </c>
      <c r="E17" s="3">
        <f>D17</f>
        <v>15.39</v>
      </c>
      <c r="G17" t="s">
        <v>109</v>
      </c>
      <c r="I17" t="s">
        <v>80</v>
      </c>
      <c r="J17" t="s">
        <v>110</v>
      </c>
      <c r="K17" t="s">
        <v>42</v>
      </c>
      <c r="M17" t="s">
        <v>27</v>
      </c>
      <c r="O17">
        <f t="shared" si="0"/>
        <v>42</v>
      </c>
      <c r="P17">
        <f t="shared" si="1"/>
        <v>42</v>
      </c>
      <c r="Q17">
        <f t="shared" si="2"/>
        <v>0</v>
      </c>
      <c r="R17" t="str">
        <f t="shared" si="3"/>
        <v>&lt;1 second</v>
      </c>
      <c r="S17">
        <f t="shared" si="4"/>
        <v>1</v>
      </c>
      <c r="T17">
        <f t="shared" si="5"/>
        <v>0.5</v>
      </c>
    </row>
    <row r="18" spans="4:20" x14ac:dyDescent="0.2">
      <c r="D18" s="3">
        <v>15.4</v>
      </c>
      <c r="E18" s="3">
        <f>D18</f>
        <v>15.4</v>
      </c>
      <c r="F18" t="s">
        <v>325</v>
      </c>
      <c r="G18" t="s">
        <v>31</v>
      </c>
      <c r="I18" t="s">
        <v>32</v>
      </c>
      <c r="J18" t="s">
        <v>110</v>
      </c>
      <c r="K18" t="s">
        <v>26</v>
      </c>
      <c r="M18" t="s">
        <v>34</v>
      </c>
      <c r="O18">
        <f t="shared" si="0"/>
        <v>43</v>
      </c>
      <c r="P18">
        <f t="shared" si="1"/>
        <v>43</v>
      </c>
      <c r="Q18">
        <f t="shared" si="2"/>
        <v>0</v>
      </c>
      <c r="R18" t="str">
        <f t="shared" si="3"/>
        <v>&lt;1 second</v>
      </c>
      <c r="S18">
        <f t="shared" si="4"/>
        <v>1</v>
      </c>
      <c r="T18">
        <f t="shared" si="5"/>
        <v>0.5</v>
      </c>
    </row>
    <row r="19" spans="4:20" x14ac:dyDescent="0.2">
      <c r="D19" s="3">
        <v>15.43</v>
      </c>
      <c r="E19" s="3">
        <v>15.44</v>
      </c>
      <c r="F19" t="s">
        <v>326</v>
      </c>
      <c r="G19" t="s">
        <v>31</v>
      </c>
      <c r="I19" t="s">
        <v>32</v>
      </c>
      <c r="J19" t="s">
        <v>32</v>
      </c>
      <c r="K19" t="s">
        <v>102</v>
      </c>
      <c r="M19" t="s">
        <v>34</v>
      </c>
      <c r="O19">
        <f t="shared" si="0"/>
        <v>46</v>
      </c>
      <c r="P19">
        <f t="shared" si="1"/>
        <v>47</v>
      </c>
      <c r="Q19">
        <f t="shared" si="2"/>
        <v>1</v>
      </c>
      <c r="R19" t="str">
        <f t="shared" si="3"/>
        <v>&lt;2 seconds</v>
      </c>
      <c r="S19">
        <f t="shared" si="4"/>
        <v>2</v>
      </c>
      <c r="T19">
        <f t="shared" si="5"/>
        <v>1.5</v>
      </c>
    </row>
    <row r="20" spans="4:20" x14ac:dyDescent="0.2">
      <c r="D20" s="3">
        <v>15.44</v>
      </c>
      <c r="E20" s="3">
        <f t="shared" ref="E20:E25" si="6">D20</f>
        <v>15.44</v>
      </c>
      <c r="G20" t="s">
        <v>256</v>
      </c>
      <c r="I20" t="s">
        <v>114</v>
      </c>
      <c r="J20" t="s">
        <v>53</v>
      </c>
      <c r="K20" t="s">
        <v>26</v>
      </c>
      <c r="M20" t="s">
        <v>34</v>
      </c>
      <c r="O20">
        <f t="shared" si="0"/>
        <v>47</v>
      </c>
      <c r="P20">
        <f t="shared" si="1"/>
        <v>47</v>
      </c>
      <c r="Q20">
        <f t="shared" si="2"/>
        <v>0</v>
      </c>
      <c r="R20" t="str">
        <f t="shared" si="3"/>
        <v>&lt;1 second</v>
      </c>
      <c r="S20">
        <f t="shared" si="4"/>
        <v>1</v>
      </c>
      <c r="T20">
        <f t="shared" si="5"/>
        <v>0.5</v>
      </c>
    </row>
    <row r="21" spans="4:20" x14ac:dyDescent="0.2">
      <c r="D21" s="3">
        <v>15.45</v>
      </c>
      <c r="E21" s="3">
        <f t="shared" si="6"/>
        <v>15.45</v>
      </c>
      <c r="F21" t="s">
        <v>312</v>
      </c>
      <c r="G21" t="s">
        <v>31</v>
      </c>
      <c r="I21" t="s">
        <v>32</v>
      </c>
      <c r="J21" t="s">
        <v>32</v>
      </c>
      <c r="K21" t="s">
        <v>26</v>
      </c>
      <c r="M21" t="s">
        <v>34</v>
      </c>
      <c r="O21">
        <f t="shared" si="0"/>
        <v>47.999999999999886</v>
      </c>
      <c r="P21">
        <f t="shared" si="1"/>
        <v>47.999999999999886</v>
      </c>
      <c r="Q21">
        <f t="shared" si="2"/>
        <v>0</v>
      </c>
      <c r="R21" t="str">
        <f t="shared" si="3"/>
        <v>&lt;1 second</v>
      </c>
      <c r="S21">
        <f t="shared" si="4"/>
        <v>1</v>
      </c>
      <c r="T21">
        <f t="shared" si="5"/>
        <v>0.5</v>
      </c>
    </row>
    <row r="22" spans="4:20" x14ac:dyDescent="0.2">
      <c r="D22" s="3">
        <v>15.45</v>
      </c>
      <c r="E22" s="3">
        <f t="shared" si="6"/>
        <v>15.45</v>
      </c>
      <c r="G22" t="s">
        <v>23</v>
      </c>
      <c r="I22" t="s">
        <v>24</v>
      </c>
      <c r="J22" t="s">
        <v>25</v>
      </c>
      <c r="K22" t="s">
        <v>26</v>
      </c>
      <c r="M22" t="s">
        <v>27</v>
      </c>
      <c r="O22">
        <f t="shared" si="0"/>
        <v>47.999999999999886</v>
      </c>
      <c r="P22">
        <f t="shared" si="1"/>
        <v>47.999999999999886</v>
      </c>
      <c r="Q22">
        <f t="shared" si="2"/>
        <v>0</v>
      </c>
      <c r="R22" t="str">
        <f t="shared" si="3"/>
        <v>&lt;1 second</v>
      </c>
      <c r="S22">
        <f t="shared" si="4"/>
        <v>1</v>
      </c>
      <c r="T22">
        <f t="shared" si="5"/>
        <v>0.5</v>
      </c>
    </row>
    <row r="23" spans="4:20" x14ac:dyDescent="0.2">
      <c r="D23" s="3">
        <v>15.45</v>
      </c>
      <c r="E23" s="3">
        <f t="shared" si="6"/>
        <v>15.45</v>
      </c>
      <c r="G23" t="s">
        <v>50</v>
      </c>
      <c r="I23" t="s">
        <v>24</v>
      </c>
      <c r="J23" t="s">
        <v>51</v>
      </c>
      <c r="K23" t="s">
        <v>26</v>
      </c>
      <c r="M23" t="s">
        <v>27</v>
      </c>
      <c r="O23">
        <f t="shared" si="0"/>
        <v>47.999999999999886</v>
      </c>
      <c r="P23">
        <f t="shared" si="1"/>
        <v>47.999999999999886</v>
      </c>
      <c r="Q23">
        <f t="shared" si="2"/>
        <v>0</v>
      </c>
      <c r="R23" t="str">
        <f t="shared" si="3"/>
        <v>&lt;1 second</v>
      </c>
      <c r="S23">
        <f t="shared" si="4"/>
        <v>1</v>
      </c>
      <c r="T23">
        <f t="shared" si="5"/>
        <v>0.5</v>
      </c>
    </row>
    <row r="24" spans="4:20" x14ac:dyDescent="0.2">
      <c r="D24" s="3">
        <v>15.46</v>
      </c>
      <c r="E24" s="3">
        <f t="shared" si="6"/>
        <v>15.46</v>
      </c>
      <c r="G24" s="17" t="s">
        <v>327</v>
      </c>
      <c r="I24" t="s">
        <v>73</v>
      </c>
      <c r="J24" t="s">
        <v>73</v>
      </c>
      <c r="K24" t="s">
        <v>42</v>
      </c>
      <c r="M24" t="s">
        <v>27</v>
      </c>
      <c r="O24">
        <f t="shared" si="0"/>
        <v>49.000000000000114</v>
      </c>
      <c r="P24">
        <f t="shared" si="1"/>
        <v>49.000000000000114</v>
      </c>
      <c r="Q24">
        <f t="shared" si="2"/>
        <v>0</v>
      </c>
      <c r="R24" t="str">
        <f t="shared" si="3"/>
        <v>&lt;1 second</v>
      </c>
      <c r="S24">
        <f t="shared" si="4"/>
        <v>1</v>
      </c>
      <c r="T24">
        <f t="shared" si="5"/>
        <v>0.5</v>
      </c>
    </row>
    <row r="25" spans="4:20" x14ac:dyDescent="0.2">
      <c r="D25" s="3">
        <v>15.46</v>
      </c>
      <c r="E25" s="3">
        <f t="shared" si="6"/>
        <v>15.46</v>
      </c>
      <c r="G25" t="s">
        <v>44</v>
      </c>
      <c r="I25" t="s">
        <v>45</v>
      </c>
      <c r="J25" t="s">
        <v>46</v>
      </c>
      <c r="K25" t="s">
        <v>47</v>
      </c>
      <c r="M25" t="s">
        <v>27</v>
      </c>
      <c r="O25">
        <f t="shared" si="0"/>
        <v>49.000000000000114</v>
      </c>
      <c r="P25">
        <f t="shared" si="1"/>
        <v>49.000000000000114</v>
      </c>
      <c r="Q25">
        <f t="shared" si="2"/>
        <v>0</v>
      </c>
      <c r="R25" t="str">
        <f t="shared" si="3"/>
        <v>&lt;1 second</v>
      </c>
      <c r="S25">
        <f t="shared" si="4"/>
        <v>1</v>
      </c>
      <c r="T25">
        <f t="shared" si="5"/>
        <v>0.5</v>
      </c>
    </row>
    <row r="26" spans="4:20" x14ac:dyDescent="0.2">
      <c r="D26" s="3">
        <v>15.46</v>
      </c>
      <c r="E26" s="3">
        <v>15.47</v>
      </c>
      <c r="F26" t="s">
        <v>312</v>
      </c>
      <c r="G26" t="s">
        <v>31</v>
      </c>
      <c r="I26" t="s">
        <v>32</v>
      </c>
      <c r="J26" t="s">
        <v>32</v>
      </c>
      <c r="K26" t="s">
        <v>26</v>
      </c>
      <c r="M26" t="s">
        <v>34</v>
      </c>
      <c r="O26">
        <f t="shared" si="0"/>
        <v>49.000000000000114</v>
      </c>
      <c r="P26">
        <f t="shared" si="1"/>
        <v>50.000000000000114</v>
      </c>
      <c r="Q26">
        <f t="shared" si="2"/>
        <v>1</v>
      </c>
      <c r="R26" t="str">
        <f t="shared" si="3"/>
        <v>&lt;2 seconds</v>
      </c>
      <c r="S26">
        <f t="shared" si="4"/>
        <v>2</v>
      </c>
      <c r="T26">
        <f t="shared" si="5"/>
        <v>1.5</v>
      </c>
    </row>
    <row r="27" spans="4:20" x14ac:dyDescent="0.2">
      <c r="D27" s="3">
        <v>15.47</v>
      </c>
      <c r="E27" s="3">
        <v>15.48</v>
      </c>
      <c r="G27" t="s">
        <v>295</v>
      </c>
      <c r="I27" t="s">
        <v>45</v>
      </c>
      <c r="J27" t="s">
        <v>162</v>
      </c>
      <c r="K27" t="s">
        <v>91</v>
      </c>
      <c r="M27" t="s">
        <v>27</v>
      </c>
      <c r="O27">
        <f t="shared" si="0"/>
        <v>50.000000000000114</v>
      </c>
      <c r="P27">
        <f t="shared" si="1"/>
        <v>51</v>
      </c>
      <c r="Q27">
        <f t="shared" si="2"/>
        <v>0.99999999999988631</v>
      </c>
      <c r="R27" t="str">
        <f t="shared" si="3"/>
        <v>&lt;2 seconds</v>
      </c>
      <c r="S27">
        <f t="shared" si="4"/>
        <v>1.9999999999998863</v>
      </c>
      <c r="T27">
        <f t="shared" si="5"/>
        <v>1.4999999999998863</v>
      </c>
    </row>
    <row r="28" spans="4:20" x14ac:dyDescent="0.2">
      <c r="D28" s="3">
        <v>15.48</v>
      </c>
      <c r="E28" s="3">
        <v>15.49</v>
      </c>
      <c r="F28" t="s">
        <v>133</v>
      </c>
      <c r="G28" t="s">
        <v>44</v>
      </c>
      <c r="I28" t="s">
        <v>45</v>
      </c>
      <c r="J28" t="s">
        <v>46</v>
      </c>
      <c r="K28" t="s">
        <v>47</v>
      </c>
      <c r="M28" t="s">
        <v>27</v>
      </c>
      <c r="O28">
        <f t="shared" si="0"/>
        <v>51</v>
      </c>
      <c r="P28">
        <f t="shared" si="1"/>
        <v>52</v>
      </c>
      <c r="Q28">
        <f t="shared" si="2"/>
        <v>1</v>
      </c>
      <c r="R28" t="str">
        <f t="shared" si="3"/>
        <v>&lt;2 seconds</v>
      </c>
      <c r="S28">
        <f t="shared" si="4"/>
        <v>2</v>
      </c>
      <c r="T28">
        <f t="shared" si="5"/>
        <v>1.5</v>
      </c>
    </row>
    <row r="29" spans="4:20" x14ac:dyDescent="0.2">
      <c r="D29" s="3">
        <v>15.49</v>
      </c>
      <c r="E29" s="3">
        <f t="shared" ref="E29:E35" si="7">D29</f>
        <v>15.49</v>
      </c>
      <c r="G29" t="s">
        <v>50</v>
      </c>
      <c r="I29" t="s">
        <v>24</v>
      </c>
      <c r="J29" t="s">
        <v>51</v>
      </c>
      <c r="K29" t="s">
        <v>26</v>
      </c>
      <c r="M29" t="s">
        <v>27</v>
      </c>
      <c r="O29">
        <f t="shared" si="0"/>
        <v>52</v>
      </c>
      <c r="P29">
        <f t="shared" si="1"/>
        <v>52</v>
      </c>
      <c r="Q29">
        <f t="shared" si="2"/>
        <v>0</v>
      </c>
      <c r="R29" t="str">
        <f t="shared" si="3"/>
        <v>&lt;1 second</v>
      </c>
      <c r="S29">
        <f t="shared" si="4"/>
        <v>1</v>
      </c>
      <c r="T29">
        <f t="shared" si="5"/>
        <v>0.5</v>
      </c>
    </row>
    <row r="30" spans="4:20" x14ac:dyDescent="0.2">
      <c r="D30" s="3">
        <v>15.49</v>
      </c>
      <c r="E30" s="3">
        <f t="shared" si="7"/>
        <v>15.49</v>
      </c>
      <c r="F30" t="s">
        <v>328</v>
      </c>
      <c r="G30" t="s">
        <v>164</v>
      </c>
      <c r="I30" t="s">
        <v>45</v>
      </c>
      <c r="J30" t="s">
        <v>162</v>
      </c>
      <c r="K30" t="s">
        <v>91</v>
      </c>
      <c r="M30" t="s">
        <v>27</v>
      </c>
      <c r="O30">
        <f t="shared" si="0"/>
        <v>52</v>
      </c>
      <c r="P30">
        <f t="shared" si="1"/>
        <v>52</v>
      </c>
      <c r="Q30">
        <f t="shared" si="2"/>
        <v>0</v>
      </c>
      <c r="R30" t="str">
        <f t="shared" si="3"/>
        <v>&lt;1 second</v>
      </c>
      <c r="S30">
        <f t="shared" si="4"/>
        <v>1</v>
      </c>
      <c r="T30">
        <f t="shared" si="5"/>
        <v>0.5</v>
      </c>
    </row>
    <row r="31" spans="4:20" x14ac:dyDescent="0.2">
      <c r="D31" s="3">
        <v>15.5</v>
      </c>
      <c r="E31" s="3">
        <f t="shared" si="7"/>
        <v>15.5</v>
      </c>
      <c r="G31" t="s">
        <v>75</v>
      </c>
      <c r="I31" t="s">
        <v>76</v>
      </c>
      <c r="J31" t="s">
        <v>77</v>
      </c>
      <c r="K31" t="s">
        <v>26</v>
      </c>
      <c r="M31" t="s">
        <v>27</v>
      </c>
      <c r="O31">
        <f t="shared" si="0"/>
        <v>53</v>
      </c>
      <c r="P31">
        <f t="shared" si="1"/>
        <v>53</v>
      </c>
      <c r="Q31">
        <f t="shared" si="2"/>
        <v>0</v>
      </c>
      <c r="R31" t="str">
        <f t="shared" si="3"/>
        <v>&lt;1 second</v>
      </c>
      <c r="S31">
        <f t="shared" si="4"/>
        <v>1</v>
      </c>
      <c r="T31">
        <f t="shared" si="5"/>
        <v>0.5</v>
      </c>
    </row>
    <row r="32" spans="4:20" x14ac:dyDescent="0.2">
      <c r="D32" s="3">
        <v>15.5</v>
      </c>
      <c r="E32" s="3">
        <f t="shared" si="7"/>
        <v>15.5</v>
      </c>
      <c r="G32" t="s">
        <v>23</v>
      </c>
      <c r="I32" t="s">
        <v>24</v>
      </c>
      <c r="J32" t="s">
        <v>25</v>
      </c>
      <c r="K32" t="s">
        <v>26</v>
      </c>
      <c r="M32" t="s">
        <v>27</v>
      </c>
      <c r="O32">
        <f t="shared" si="0"/>
        <v>53</v>
      </c>
      <c r="P32">
        <f t="shared" si="1"/>
        <v>53</v>
      </c>
      <c r="Q32">
        <f t="shared" si="2"/>
        <v>0</v>
      </c>
      <c r="R32" t="str">
        <f t="shared" si="3"/>
        <v>&lt;1 second</v>
      </c>
      <c r="S32">
        <f t="shared" si="4"/>
        <v>1</v>
      </c>
      <c r="T32">
        <f t="shared" si="5"/>
        <v>0.5</v>
      </c>
    </row>
    <row r="33" spans="4:20" x14ac:dyDescent="0.2">
      <c r="D33" s="3">
        <v>15.51</v>
      </c>
      <c r="E33" s="3">
        <f t="shared" si="7"/>
        <v>15.51</v>
      </c>
      <c r="G33" s="17" t="s">
        <v>329</v>
      </c>
      <c r="I33" t="s">
        <v>73</v>
      </c>
      <c r="J33" t="s">
        <v>73</v>
      </c>
      <c r="K33" t="s">
        <v>42</v>
      </c>
      <c r="M33" t="s">
        <v>27</v>
      </c>
      <c r="O33">
        <f t="shared" si="0"/>
        <v>54</v>
      </c>
      <c r="P33">
        <f t="shared" si="1"/>
        <v>54</v>
      </c>
      <c r="Q33">
        <f t="shared" si="2"/>
        <v>0</v>
      </c>
      <c r="R33" t="str">
        <f t="shared" si="3"/>
        <v>&lt;1 second</v>
      </c>
      <c r="S33">
        <f t="shared" si="4"/>
        <v>1</v>
      </c>
      <c r="T33">
        <f t="shared" si="5"/>
        <v>0.5</v>
      </c>
    </row>
    <row r="34" spans="4:20" x14ac:dyDescent="0.2">
      <c r="D34" s="3">
        <v>15.52</v>
      </c>
      <c r="E34" s="3">
        <f t="shared" si="7"/>
        <v>15.52</v>
      </c>
      <c r="G34" t="s">
        <v>84</v>
      </c>
      <c r="I34" t="s">
        <v>76</v>
      </c>
      <c r="J34" t="s">
        <v>85</v>
      </c>
      <c r="K34" t="s">
        <v>26</v>
      </c>
      <c r="M34" t="s">
        <v>27</v>
      </c>
      <c r="O34">
        <f t="shared" si="0"/>
        <v>55</v>
      </c>
      <c r="P34">
        <f t="shared" si="1"/>
        <v>55</v>
      </c>
      <c r="Q34">
        <f t="shared" si="2"/>
        <v>0</v>
      </c>
      <c r="R34" t="str">
        <f t="shared" si="3"/>
        <v>&lt;1 second</v>
      </c>
      <c r="S34">
        <f t="shared" si="4"/>
        <v>1</v>
      </c>
      <c r="T34">
        <f t="shared" si="5"/>
        <v>0.5</v>
      </c>
    </row>
    <row r="35" spans="4:20" x14ac:dyDescent="0.2">
      <c r="D35" s="3">
        <v>15.53</v>
      </c>
      <c r="E35" s="3">
        <f t="shared" si="7"/>
        <v>15.53</v>
      </c>
      <c r="G35" t="s">
        <v>158</v>
      </c>
      <c r="I35" t="s">
        <v>45</v>
      </c>
      <c r="J35" t="s">
        <v>159</v>
      </c>
      <c r="K35" t="s">
        <v>91</v>
      </c>
      <c r="M35" t="s">
        <v>27</v>
      </c>
      <c r="O35">
        <f t="shared" si="0"/>
        <v>55.999999999999886</v>
      </c>
      <c r="P35">
        <f t="shared" si="1"/>
        <v>55.999999999999886</v>
      </c>
      <c r="Q35">
        <f t="shared" si="2"/>
        <v>0</v>
      </c>
      <c r="R35" t="str">
        <f t="shared" si="3"/>
        <v>&lt;1 second</v>
      </c>
      <c r="S35">
        <f t="shared" si="4"/>
        <v>1</v>
      </c>
      <c r="T35">
        <f t="shared" si="5"/>
        <v>0.5</v>
      </c>
    </row>
    <row r="36" spans="4:20" x14ac:dyDescent="0.2">
      <c r="D36" s="3">
        <v>15.53</v>
      </c>
      <c r="E36" s="3">
        <v>15.54</v>
      </c>
      <c r="G36" t="s">
        <v>161</v>
      </c>
      <c r="I36" t="s">
        <v>45</v>
      </c>
      <c r="J36" t="s">
        <v>162</v>
      </c>
      <c r="K36" t="s">
        <v>91</v>
      </c>
      <c r="M36" t="s">
        <v>27</v>
      </c>
      <c r="O36">
        <f t="shared" si="0"/>
        <v>55.999999999999886</v>
      </c>
      <c r="P36">
        <f t="shared" si="1"/>
        <v>56.999999999999886</v>
      </c>
      <c r="Q36">
        <f t="shared" si="2"/>
        <v>1</v>
      </c>
      <c r="R36" t="str">
        <f t="shared" si="3"/>
        <v>&lt;2 seconds</v>
      </c>
      <c r="S36">
        <f t="shared" si="4"/>
        <v>2</v>
      </c>
      <c r="T36">
        <f t="shared" si="5"/>
        <v>1.5</v>
      </c>
    </row>
    <row r="37" spans="4:20" x14ac:dyDescent="0.2">
      <c r="D37" s="3">
        <v>15.54</v>
      </c>
      <c r="E37" s="3">
        <v>15.55</v>
      </c>
      <c r="G37" t="s">
        <v>44</v>
      </c>
      <c r="I37" t="s">
        <v>45</v>
      </c>
      <c r="J37" t="s">
        <v>46</v>
      </c>
      <c r="K37" t="s">
        <v>47</v>
      </c>
      <c r="M37" t="s">
        <v>27</v>
      </c>
      <c r="O37">
        <f t="shared" si="0"/>
        <v>56.999999999999886</v>
      </c>
      <c r="P37">
        <f t="shared" si="1"/>
        <v>58.000000000000114</v>
      </c>
      <c r="Q37">
        <f t="shared" si="2"/>
        <v>1.0000000000002274</v>
      </c>
      <c r="R37" t="str">
        <f t="shared" si="3"/>
        <v>&lt;2 seconds</v>
      </c>
      <c r="S37">
        <f t="shared" si="4"/>
        <v>2.0000000000002274</v>
      </c>
      <c r="T37">
        <f t="shared" si="5"/>
        <v>1.5000000000002274</v>
      </c>
    </row>
    <row r="38" spans="4:20" x14ac:dyDescent="0.2">
      <c r="D38" s="3">
        <v>15.55</v>
      </c>
      <c r="E38" s="3">
        <v>15.55</v>
      </c>
      <c r="G38" t="s">
        <v>161</v>
      </c>
      <c r="I38" t="s">
        <v>45</v>
      </c>
      <c r="J38" t="s">
        <v>162</v>
      </c>
      <c r="K38" t="s">
        <v>91</v>
      </c>
      <c r="M38" t="s">
        <v>27</v>
      </c>
      <c r="O38">
        <f t="shared" si="0"/>
        <v>58.000000000000114</v>
      </c>
      <c r="P38">
        <f t="shared" si="1"/>
        <v>58.000000000000114</v>
      </c>
      <c r="Q38">
        <f t="shared" si="2"/>
        <v>0</v>
      </c>
      <c r="R38" t="str">
        <f t="shared" si="3"/>
        <v>&lt;1 second</v>
      </c>
      <c r="S38">
        <f t="shared" si="4"/>
        <v>1</v>
      </c>
      <c r="T38">
        <f t="shared" si="5"/>
        <v>0.5</v>
      </c>
    </row>
    <row r="39" spans="4:20" x14ac:dyDescent="0.2">
      <c r="D39" s="3">
        <v>15.55</v>
      </c>
      <c r="E39" s="3">
        <v>15.56</v>
      </c>
      <c r="G39" t="s">
        <v>161</v>
      </c>
      <c r="I39" t="s">
        <v>45</v>
      </c>
      <c r="J39" t="s">
        <v>162</v>
      </c>
      <c r="K39" t="s">
        <v>91</v>
      </c>
      <c r="M39" t="s">
        <v>27</v>
      </c>
      <c r="O39">
        <f t="shared" si="0"/>
        <v>58.000000000000114</v>
      </c>
      <c r="P39">
        <f t="shared" si="1"/>
        <v>59</v>
      </c>
      <c r="Q39">
        <f t="shared" si="2"/>
        <v>0.99999999999988631</v>
      </c>
      <c r="R39" t="str">
        <f t="shared" si="3"/>
        <v>&lt;2 seconds</v>
      </c>
      <c r="S39">
        <f t="shared" si="4"/>
        <v>1.9999999999998863</v>
      </c>
      <c r="T39">
        <f t="shared" si="5"/>
        <v>1.4999999999998863</v>
      </c>
    </row>
    <row r="40" spans="4:20" x14ac:dyDescent="0.2">
      <c r="D40" s="3">
        <v>15.58</v>
      </c>
      <c r="E40" s="3">
        <v>15.59</v>
      </c>
      <c r="G40" t="s">
        <v>84</v>
      </c>
      <c r="I40" t="s">
        <v>76</v>
      </c>
      <c r="J40" t="s">
        <v>85</v>
      </c>
      <c r="K40" t="s">
        <v>26</v>
      </c>
      <c r="M40" t="s">
        <v>27</v>
      </c>
      <c r="O40">
        <f t="shared" si="0"/>
        <v>61</v>
      </c>
      <c r="P40">
        <f t="shared" si="1"/>
        <v>62</v>
      </c>
      <c r="Q40">
        <f t="shared" si="2"/>
        <v>1</v>
      </c>
      <c r="R40" t="str">
        <f t="shared" si="3"/>
        <v>&lt;2 seconds</v>
      </c>
      <c r="S40">
        <f t="shared" si="4"/>
        <v>2</v>
      </c>
      <c r="T40">
        <f t="shared" si="5"/>
        <v>1.5</v>
      </c>
    </row>
    <row r="41" spans="4:20" x14ac:dyDescent="0.2">
      <c r="E41" s="3"/>
    </row>
    <row r="42" spans="4:20" x14ac:dyDescent="0.2">
      <c r="E42" s="3"/>
    </row>
    <row r="43" spans="4:20" x14ac:dyDescent="0.2">
      <c r="E43" s="3"/>
    </row>
    <row r="44" spans="4:20" x14ac:dyDescent="0.2">
      <c r="E44" s="3"/>
    </row>
    <row r="45" spans="4:20" x14ac:dyDescent="0.2">
      <c r="E45" s="3"/>
    </row>
    <row r="46" spans="4:20" x14ac:dyDescent="0.2">
      <c r="E46" s="3"/>
    </row>
    <row r="47" spans="4:20" x14ac:dyDescent="0.2">
      <c r="E47" s="3"/>
    </row>
    <row r="48" spans="4:20"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sheetData>
  <dataValidations count="3">
    <dataValidation type="list" allowBlank="1" showErrorMessage="1" errorTitle="Invalid value" error="Please select a valid value." sqref="H2:H1000" xr:uid="{00000000-0002-0000-0700-000003000000}">
      <formula1>"EASY,MEDIUM,HARD,VERY HARD"</formula1>
    </dataValidation>
    <dataValidation type="list" allowBlank="1" showErrorMessage="1" errorTitle="Invalid value" error="Please select a valid value." sqref="K2:L1000" xr:uid="{00000000-0002-0000-0700-000004000000}">
      <formula1>"cursor,keyboard,gesture,complex gesture,multi_step,multi_input"</formula1>
    </dataValidation>
    <dataValidation type="list" allowBlank="1" showErrorMessage="1" errorTitle="Invalid value" error="Please select a valid value." sqref="M2:M1000" xr:uid="{00000000-0002-0000-0700-000006000000}">
      <formula1>"canvas,gui,layers panel"</formula1>
    </dataValidation>
  </dataValidations>
  <hyperlinks>
    <hyperlink ref="B2" r:id="rId1" xr:uid="{00000000-0004-0000-07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700-000002000000}">
          <x14:formula1>
            <xm:f>_lists!$C$2:$C$1000</xm:f>
          </x14:formula1>
          <xm:sqref>J2:J1000</xm:sqref>
        </x14:dataValidation>
        <x14:dataValidation type="list" allowBlank="1" showErrorMessage="1" errorTitle="Invalid value" error="Please select a valid value." xr:uid="{00000000-0002-0000-0700-000001000000}">
          <x14:formula1>
            <xm:f>_lists!$B$2:$B$1000</xm:f>
          </x14:formula1>
          <xm:sqref>I2:I1000</xm:sqref>
        </x14:dataValidation>
        <x14:dataValidation type="list" allowBlank="1" showErrorMessage="1" errorTitle="Invalid value" error="Please select a valid value." xr:uid="{00000000-0002-0000-0700-000000000000}">
          <x14:formula1>
            <xm:f>_lists!$A$2:$A$1000</xm:f>
          </x14:formula1>
          <xm:sqref>G2:G1000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81"/>
  <sheetViews>
    <sheetView zoomScale="131"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7.83203125" bestFit="1" customWidth="1"/>
    <col min="7" max="7" width="76.33203125" bestFit="1" customWidth="1"/>
    <col min="8" max="8" width="7.1640625" customWidth="1"/>
    <col min="9" max="9" width="26.83203125" customWidth="1"/>
    <col min="10" max="10" width="30.1640625" bestFit="1" customWidth="1"/>
    <col min="11" max="11" width="15" customWidth="1"/>
    <col min="12" max="12" width="4.83203125" customWidth="1"/>
    <col min="13" max="13" width="8.1640625" customWidth="1"/>
    <col min="14" max="14" width="22.66406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356</v>
      </c>
      <c r="B2" s="10" t="s">
        <v>355</v>
      </c>
      <c r="C2" t="s">
        <v>22</v>
      </c>
      <c r="D2" s="3">
        <v>86.56</v>
      </c>
      <c r="E2" s="3">
        <v>86.56</v>
      </c>
      <c r="G2" t="s">
        <v>23</v>
      </c>
      <c r="I2" t="s">
        <v>24</v>
      </c>
      <c r="J2" t="s">
        <v>25</v>
      </c>
      <c r="K2" t="s">
        <v>26</v>
      </c>
      <c r="M2" t="s">
        <v>27</v>
      </c>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D3" s="3">
        <v>86.56</v>
      </c>
      <c r="E3" s="3">
        <f>86.58</f>
        <v>86.58</v>
      </c>
      <c r="G3" t="s">
        <v>353</v>
      </c>
      <c r="I3" t="s">
        <v>28</v>
      </c>
      <c r="J3" t="s">
        <v>29</v>
      </c>
      <c r="K3" t="s">
        <v>26</v>
      </c>
      <c r="M3" t="s">
        <v>27</v>
      </c>
      <c r="O3">
        <f t="shared" si="0"/>
        <v>0</v>
      </c>
      <c r="P3">
        <f t="shared" si="1"/>
        <v>2</v>
      </c>
      <c r="Q3">
        <f t="shared" si="2"/>
        <v>2</v>
      </c>
      <c r="R3" t="str">
        <f t="shared" si="3"/>
        <v>&lt;3 seconds</v>
      </c>
      <c r="S3">
        <f t="shared" si="4"/>
        <v>3</v>
      </c>
      <c r="T3">
        <f t="shared" si="5"/>
        <v>2.5</v>
      </c>
    </row>
    <row r="4" spans="1:21" x14ac:dyDescent="0.2">
      <c r="D4" s="3">
        <v>86.59</v>
      </c>
      <c r="E4" s="3">
        <f t="shared" ref="E4:E11" si="6">D4</f>
        <v>86.59</v>
      </c>
      <c r="F4" t="s">
        <v>30</v>
      </c>
      <c r="G4" t="s">
        <v>31</v>
      </c>
      <c r="I4" t="s">
        <v>32</v>
      </c>
      <c r="J4" t="s">
        <v>33</v>
      </c>
      <c r="K4" t="s">
        <v>26</v>
      </c>
      <c r="M4" t="s">
        <v>34</v>
      </c>
      <c r="O4">
        <f t="shared" si="0"/>
        <v>3</v>
      </c>
      <c r="P4">
        <f t="shared" si="1"/>
        <v>3</v>
      </c>
      <c r="Q4">
        <f t="shared" si="2"/>
        <v>0</v>
      </c>
      <c r="R4" t="str">
        <f t="shared" si="3"/>
        <v>&lt;1 second</v>
      </c>
      <c r="S4">
        <f t="shared" si="4"/>
        <v>1</v>
      </c>
      <c r="T4">
        <f t="shared" si="5"/>
        <v>0.5</v>
      </c>
    </row>
    <row r="5" spans="1:21" x14ac:dyDescent="0.2">
      <c r="D5" s="3">
        <v>87.01</v>
      </c>
      <c r="E5" s="3">
        <f t="shared" si="6"/>
        <v>87.01</v>
      </c>
      <c r="F5" t="s">
        <v>35</v>
      </c>
      <c r="G5" s="17" t="s">
        <v>36</v>
      </c>
      <c r="I5" s="19" t="s">
        <v>37</v>
      </c>
      <c r="J5" s="19" t="s">
        <v>38</v>
      </c>
      <c r="K5" t="s">
        <v>26</v>
      </c>
      <c r="M5" t="s">
        <v>27</v>
      </c>
      <c r="O5">
        <f t="shared" si="0"/>
        <v>5.0000000000009095</v>
      </c>
      <c r="P5">
        <f t="shared" si="1"/>
        <v>5.0000000000009095</v>
      </c>
      <c r="Q5">
        <f t="shared" si="2"/>
        <v>0</v>
      </c>
      <c r="R5" t="str">
        <f t="shared" si="3"/>
        <v>&lt;1 second</v>
      </c>
      <c r="S5">
        <f t="shared" si="4"/>
        <v>1</v>
      </c>
      <c r="T5">
        <f t="shared" si="5"/>
        <v>0.5</v>
      </c>
    </row>
    <row r="6" spans="1:21" x14ac:dyDescent="0.2">
      <c r="D6" s="3">
        <v>87.02</v>
      </c>
      <c r="E6" s="3">
        <f t="shared" si="6"/>
        <v>87.02</v>
      </c>
      <c r="F6" t="s">
        <v>39</v>
      </c>
      <c r="G6" t="s">
        <v>353</v>
      </c>
      <c r="I6" t="s">
        <v>28</v>
      </c>
      <c r="J6" t="s">
        <v>29</v>
      </c>
      <c r="K6" t="s">
        <v>26</v>
      </c>
      <c r="M6" t="s">
        <v>27</v>
      </c>
      <c r="O6">
        <f t="shared" si="0"/>
        <v>6</v>
      </c>
      <c r="P6">
        <f t="shared" si="1"/>
        <v>6</v>
      </c>
      <c r="Q6">
        <f t="shared" si="2"/>
        <v>0</v>
      </c>
      <c r="R6" t="str">
        <f t="shared" si="3"/>
        <v>&lt;1 second</v>
      </c>
      <c r="S6">
        <f t="shared" si="4"/>
        <v>1</v>
      </c>
      <c r="T6">
        <f t="shared" si="5"/>
        <v>0.5</v>
      </c>
    </row>
    <row r="7" spans="1:21" x14ac:dyDescent="0.2">
      <c r="D7" s="3">
        <v>87.04</v>
      </c>
      <c r="E7" s="3">
        <f t="shared" si="6"/>
        <v>87.04</v>
      </c>
      <c r="G7" t="s">
        <v>40</v>
      </c>
      <c r="I7" t="s">
        <v>41</v>
      </c>
      <c r="J7" t="s">
        <v>41</v>
      </c>
      <c r="K7" t="s">
        <v>42</v>
      </c>
      <c r="M7" t="s">
        <v>27</v>
      </c>
      <c r="O7">
        <f t="shared" si="0"/>
        <v>8.0000000000009095</v>
      </c>
      <c r="P7">
        <f t="shared" si="1"/>
        <v>8.0000000000009095</v>
      </c>
      <c r="Q7">
        <f t="shared" si="2"/>
        <v>0</v>
      </c>
      <c r="R7" t="str">
        <f t="shared" si="3"/>
        <v>&lt;1 second</v>
      </c>
      <c r="S7">
        <f t="shared" si="4"/>
        <v>1</v>
      </c>
      <c r="T7">
        <f t="shared" si="5"/>
        <v>0.5</v>
      </c>
    </row>
    <row r="8" spans="1:21" x14ac:dyDescent="0.2">
      <c r="D8" s="3">
        <v>87.04</v>
      </c>
      <c r="E8" s="3">
        <f t="shared" si="6"/>
        <v>87.04</v>
      </c>
      <c r="F8" t="s">
        <v>43</v>
      </c>
      <c r="G8" t="s">
        <v>44</v>
      </c>
      <c r="I8" t="s">
        <v>45</v>
      </c>
      <c r="J8" t="s">
        <v>46</v>
      </c>
      <c r="K8" t="s">
        <v>47</v>
      </c>
      <c r="M8" t="s">
        <v>27</v>
      </c>
      <c r="O8">
        <f t="shared" si="0"/>
        <v>8.0000000000009095</v>
      </c>
      <c r="P8">
        <f t="shared" si="1"/>
        <v>8.0000000000009095</v>
      </c>
      <c r="Q8">
        <f t="shared" si="2"/>
        <v>0</v>
      </c>
      <c r="R8" t="str">
        <f t="shared" si="3"/>
        <v>&lt;1 second</v>
      </c>
      <c r="S8">
        <f t="shared" si="4"/>
        <v>1</v>
      </c>
      <c r="T8">
        <f t="shared" si="5"/>
        <v>0.5</v>
      </c>
    </row>
    <row r="9" spans="1:21" x14ac:dyDescent="0.2">
      <c r="D9" s="3">
        <v>87.04</v>
      </c>
      <c r="E9" s="3">
        <f t="shared" si="6"/>
        <v>87.04</v>
      </c>
      <c r="G9" t="s">
        <v>353</v>
      </c>
      <c r="I9" t="s">
        <v>28</v>
      </c>
      <c r="J9" t="s">
        <v>29</v>
      </c>
      <c r="K9" t="s">
        <v>26</v>
      </c>
      <c r="M9" t="s">
        <v>27</v>
      </c>
      <c r="O9">
        <f t="shared" si="0"/>
        <v>8.0000000000009095</v>
      </c>
      <c r="P9">
        <f t="shared" si="1"/>
        <v>8.0000000000009095</v>
      </c>
      <c r="Q9">
        <f t="shared" si="2"/>
        <v>0</v>
      </c>
      <c r="R9" t="str">
        <f t="shared" si="3"/>
        <v>&lt;1 second</v>
      </c>
      <c r="S9">
        <f t="shared" si="4"/>
        <v>1</v>
      </c>
      <c r="T9">
        <f t="shared" si="5"/>
        <v>0.5</v>
      </c>
    </row>
    <row r="10" spans="1:21" x14ac:dyDescent="0.2">
      <c r="D10" s="3">
        <v>87.05</v>
      </c>
      <c r="E10" s="3">
        <f t="shared" si="6"/>
        <v>87.05</v>
      </c>
      <c r="F10" t="s">
        <v>48</v>
      </c>
      <c r="G10" t="s">
        <v>49</v>
      </c>
      <c r="I10" t="s">
        <v>45</v>
      </c>
      <c r="J10" t="s">
        <v>46</v>
      </c>
      <c r="K10" t="s">
        <v>47</v>
      </c>
      <c r="M10" t="s">
        <v>27</v>
      </c>
      <c r="O10">
        <f t="shared" si="0"/>
        <v>9</v>
      </c>
      <c r="P10">
        <f t="shared" si="1"/>
        <v>9</v>
      </c>
      <c r="Q10">
        <f t="shared" si="2"/>
        <v>0</v>
      </c>
      <c r="R10" t="str">
        <f t="shared" si="3"/>
        <v>&lt;1 second</v>
      </c>
      <c r="S10">
        <f t="shared" si="4"/>
        <v>1</v>
      </c>
      <c r="T10">
        <f t="shared" si="5"/>
        <v>0.5</v>
      </c>
    </row>
    <row r="11" spans="1:21" x14ac:dyDescent="0.2">
      <c r="D11" s="3">
        <v>87.05</v>
      </c>
      <c r="E11" s="3">
        <f t="shared" si="6"/>
        <v>87.05</v>
      </c>
      <c r="G11" t="s">
        <v>50</v>
      </c>
      <c r="I11" t="s">
        <v>24</v>
      </c>
      <c r="J11" t="s">
        <v>51</v>
      </c>
      <c r="K11" t="s">
        <v>26</v>
      </c>
      <c r="M11" t="s">
        <v>27</v>
      </c>
      <c r="O11">
        <f t="shared" si="0"/>
        <v>9</v>
      </c>
      <c r="P11">
        <f t="shared" si="1"/>
        <v>9</v>
      </c>
      <c r="Q11">
        <f t="shared" si="2"/>
        <v>0</v>
      </c>
      <c r="R11" t="str">
        <f t="shared" si="3"/>
        <v>&lt;1 second</v>
      </c>
      <c r="S11">
        <f t="shared" si="4"/>
        <v>1</v>
      </c>
      <c r="T11">
        <f t="shared" si="5"/>
        <v>0.5</v>
      </c>
    </row>
    <row r="12" spans="1:21" x14ac:dyDescent="0.2">
      <c r="D12" s="3">
        <v>87.06</v>
      </c>
      <c r="E12" s="3">
        <v>87.09</v>
      </c>
      <c r="F12" t="s">
        <v>52</v>
      </c>
      <c r="G12" t="s">
        <v>31</v>
      </c>
      <c r="I12" t="s">
        <v>32</v>
      </c>
      <c r="J12" t="s">
        <v>53</v>
      </c>
      <c r="K12" t="s">
        <v>26</v>
      </c>
      <c r="M12" t="s">
        <v>34</v>
      </c>
      <c r="O12">
        <f t="shared" si="0"/>
        <v>10</v>
      </c>
      <c r="P12">
        <f t="shared" si="1"/>
        <v>13</v>
      </c>
      <c r="Q12">
        <f t="shared" si="2"/>
        <v>3</v>
      </c>
      <c r="R12" t="str">
        <f t="shared" si="3"/>
        <v>&lt;4 seconds</v>
      </c>
      <c r="S12">
        <f t="shared" si="4"/>
        <v>4</v>
      </c>
      <c r="T12">
        <f t="shared" si="5"/>
        <v>3.5</v>
      </c>
    </row>
    <row r="13" spans="1:21" x14ac:dyDescent="0.2">
      <c r="D13" s="3">
        <v>87.1</v>
      </c>
      <c r="E13" s="3">
        <f>D13</f>
        <v>87.1</v>
      </c>
      <c r="G13" t="s">
        <v>23</v>
      </c>
      <c r="I13" t="s">
        <v>24</v>
      </c>
      <c r="J13" t="s">
        <v>25</v>
      </c>
      <c r="K13" t="s">
        <v>26</v>
      </c>
      <c r="M13" t="s">
        <v>27</v>
      </c>
      <c r="O13">
        <f t="shared" si="0"/>
        <v>13.999999999999091</v>
      </c>
      <c r="P13">
        <f t="shared" si="1"/>
        <v>13.999999999999091</v>
      </c>
      <c r="Q13">
        <f t="shared" si="2"/>
        <v>0</v>
      </c>
      <c r="R13" t="str">
        <f t="shared" si="3"/>
        <v>&lt;1 second</v>
      </c>
      <c r="S13">
        <f t="shared" si="4"/>
        <v>1</v>
      </c>
      <c r="T13">
        <f t="shared" si="5"/>
        <v>0.5</v>
      </c>
    </row>
    <row r="14" spans="1:21" x14ac:dyDescent="0.2">
      <c r="D14" s="3">
        <v>87.11</v>
      </c>
      <c r="E14" s="3">
        <f>D14</f>
        <v>87.11</v>
      </c>
      <c r="F14" t="s">
        <v>54</v>
      </c>
      <c r="G14" t="s">
        <v>44</v>
      </c>
      <c r="I14" t="s">
        <v>45</v>
      </c>
      <c r="J14" t="s">
        <v>46</v>
      </c>
      <c r="K14" t="s">
        <v>47</v>
      </c>
      <c r="M14" t="s">
        <v>27</v>
      </c>
      <c r="O14">
        <f t="shared" si="0"/>
        <v>15</v>
      </c>
      <c r="P14">
        <f t="shared" si="1"/>
        <v>15</v>
      </c>
      <c r="Q14">
        <f t="shared" si="2"/>
        <v>0</v>
      </c>
      <c r="R14" t="str">
        <f t="shared" si="3"/>
        <v>&lt;1 second</v>
      </c>
      <c r="S14">
        <f t="shared" si="4"/>
        <v>1</v>
      </c>
      <c r="T14">
        <f t="shared" si="5"/>
        <v>0.5</v>
      </c>
    </row>
    <row r="15" spans="1:21" x14ac:dyDescent="0.2">
      <c r="D15" s="3">
        <v>87.12</v>
      </c>
      <c r="E15" s="3">
        <f>D15</f>
        <v>87.12</v>
      </c>
      <c r="G15" t="s">
        <v>49</v>
      </c>
      <c r="I15" t="s">
        <v>45</v>
      </c>
      <c r="J15" t="s">
        <v>46</v>
      </c>
      <c r="K15" t="s">
        <v>47</v>
      </c>
      <c r="M15" t="s">
        <v>27</v>
      </c>
      <c r="O15">
        <f t="shared" si="0"/>
        <v>16</v>
      </c>
      <c r="P15">
        <f t="shared" si="1"/>
        <v>16</v>
      </c>
      <c r="Q15">
        <f t="shared" si="2"/>
        <v>0</v>
      </c>
      <c r="R15" t="str">
        <f t="shared" si="3"/>
        <v>&lt;1 second</v>
      </c>
      <c r="S15">
        <f t="shared" si="4"/>
        <v>1</v>
      </c>
      <c r="T15">
        <f t="shared" si="5"/>
        <v>0.5</v>
      </c>
    </row>
    <row r="16" spans="1:21" x14ac:dyDescent="0.2">
      <c r="D16" s="3">
        <v>87.14</v>
      </c>
      <c r="E16" s="3">
        <f>D16</f>
        <v>87.14</v>
      </c>
      <c r="G16" t="s">
        <v>353</v>
      </c>
      <c r="I16" t="s">
        <v>28</v>
      </c>
      <c r="J16" t="s">
        <v>29</v>
      </c>
      <c r="K16" t="s">
        <v>26</v>
      </c>
      <c r="M16" t="s">
        <v>27</v>
      </c>
      <c r="O16">
        <f t="shared" si="0"/>
        <v>18</v>
      </c>
      <c r="P16">
        <f t="shared" si="1"/>
        <v>18</v>
      </c>
      <c r="Q16">
        <f t="shared" si="2"/>
        <v>0</v>
      </c>
      <c r="R16" t="str">
        <f t="shared" si="3"/>
        <v>&lt;1 second</v>
      </c>
      <c r="S16">
        <f t="shared" si="4"/>
        <v>1</v>
      </c>
      <c r="T16">
        <f t="shared" si="5"/>
        <v>0.5</v>
      </c>
    </row>
    <row r="17" spans="4:20" x14ac:dyDescent="0.2">
      <c r="D17" s="3">
        <v>87.15</v>
      </c>
      <c r="E17" s="3">
        <f>D17</f>
        <v>87.15</v>
      </c>
      <c r="G17" t="s">
        <v>50</v>
      </c>
      <c r="I17" t="s">
        <v>24</v>
      </c>
      <c r="J17" t="s">
        <v>51</v>
      </c>
      <c r="K17" t="s">
        <v>26</v>
      </c>
      <c r="M17" t="s">
        <v>27</v>
      </c>
      <c r="O17">
        <f t="shared" si="0"/>
        <v>19.000000000000909</v>
      </c>
      <c r="P17">
        <f t="shared" si="1"/>
        <v>19.000000000000909</v>
      </c>
      <c r="Q17">
        <f t="shared" si="2"/>
        <v>0</v>
      </c>
      <c r="R17" t="str">
        <f t="shared" si="3"/>
        <v>&lt;1 second</v>
      </c>
      <c r="S17">
        <f t="shared" si="4"/>
        <v>1</v>
      </c>
      <c r="T17">
        <f t="shared" si="5"/>
        <v>0.5</v>
      </c>
    </row>
    <row r="18" spans="4:20" x14ac:dyDescent="0.2">
      <c r="D18" s="3">
        <v>87.15</v>
      </c>
      <c r="E18" s="3">
        <v>87.17</v>
      </c>
      <c r="G18" t="s">
        <v>55</v>
      </c>
      <c r="I18" t="s">
        <v>56</v>
      </c>
      <c r="J18" t="s">
        <v>38</v>
      </c>
      <c r="K18" t="s">
        <v>26</v>
      </c>
      <c r="M18" t="s">
        <v>27</v>
      </c>
      <c r="O18">
        <f t="shared" si="0"/>
        <v>19.000000000000909</v>
      </c>
      <c r="P18">
        <f t="shared" si="1"/>
        <v>21</v>
      </c>
      <c r="Q18">
        <f t="shared" si="2"/>
        <v>1.9999999999990905</v>
      </c>
      <c r="R18" t="str">
        <f t="shared" si="3"/>
        <v>&lt;3 seconds</v>
      </c>
      <c r="S18">
        <f t="shared" si="4"/>
        <v>2.9999999999990905</v>
      </c>
      <c r="T18">
        <f t="shared" si="5"/>
        <v>2.4999999999990905</v>
      </c>
    </row>
    <row r="19" spans="4:20" x14ac:dyDescent="0.2">
      <c r="D19" s="3">
        <v>87.17</v>
      </c>
      <c r="E19" s="3">
        <v>87.18</v>
      </c>
      <c r="F19" t="s">
        <v>57</v>
      </c>
      <c r="G19" t="s">
        <v>40</v>
      </c>
      <c r="I19" t="s">
        <v>41</v>
      </c>
      <c r="J19" t="s">
        <v>41</v>
      </c>
      <c r="K19" t="s">
        <v>42</v>
      </c>
      <c r="M19" t="s">
        <v>27</v>
      </c>
      <c r="O19">
        <f t="shared" si="0"/>
        <v>21</v>
      </c>
      <c r="P19">
        <f t="shared" si="1"/>
        <v>22.000000000000909</v>
      </c>
      <c r="Q19">
        <f t="shared" si="2"/>
        <v>1.0000000000009095</v>
      </c>
      <c r="R19" t="str">
        <f t="shared" si="3"/>
        <v>&lt;2 seconds</v>
      </c>
      <c r="S19">
        <f t="shared" si="4"/>
        <v>2.0000000000009095</v>
      </c>
      <c r="T19">
        <f t="shared" si="5"/>
        <v>1.5000000000009095</v>
      </c>
    </row>
    <row r="20" spans="4:20" x14ac:dyDescent="0.2">
      <c r="D20" s="3">
        <v>87.19</v>
      </c>
      <c r="E20" s="3">
        <f t="shared" ref="E20:E25" si="7">D20</f>
        <v>87.19</v>
      </c>
      <c r="G20" t="s">
        <v>23</v>
      </c>
      <c r="I20" t="s">
        <v>24</v>
      </c>
      <c r="J20" t="s">
        <v>25</v>
      </c>
      <c r="K20" t="s">
        <v>26</v>
      </c>
      <c r="M20" t="s">
        <v>27</v>
      </c>
      <c r="O20">
        <f t="shared" si="0"/>
        <v>23</v>
      </c>
      <c r="P20">
        <f t="shared" si="1"/>
        <v>23</v>
      </c>
      <c r="Q20">
        <f t="shared" si="2"/>
        <v>0</v>
      </c>
      <c r="R20" t="str">
        <f t="shared" si="3"/>
        <v>&lt;1 second</v>
      </c>
      <c r="S20">
        <f t="shared" si="4"/>
        <v>1</v>
      </c>
      <c r="T20">
        <f t="shared" si="5"/>
        <v>0.5</v>
      </c>
    </row>
    <row r="21" spans="4:20" x14ac:dyDescent="0.2">
      <c r="D21" s="3">
        <v>87.2</v>
      </c>
      <c r="E21" s="3">
        <f t="shared" si="7"/>
        <v>87.2</v>
      </c>
      <c r="G21" t="s">
        <v>44</v>
      </c>
      <c r="I21" t="s">
        <v>45</v>
      </c>
      <c r="J21" t="s">
        <v>46</v>
      </c>
      <c r="K21" t="s">
        <v>47</v>
      </c>
      <c r="M21" t="s">
        <v>27</v>
      </c>
      <c r="O21">
        <f t="shared" si="0"/>
        <v>24</v>
      </c>
      <c r="P21">
        <f t="shared" si="1"/>
        <v>24</v>
      </c>
      <c r="Q21">
        <f t="shared" si="2"/>
        <v>0</v>
      </c>
      <c r="R21" t="str">
        <f t="shared" si="3"/>
        <v>&lt;1 second</v>
      </c>
      <c r="S21">
        <f t="shared" si="4"/>
        <v>1</v>
      </c>
      <c r="T21">
        <f t="shared" si="5"/>
        <v>0.5</v>
      </c>
    </row>
    <row r="22" spans="4:20" x14ac:dyDescent="0.2">
      <c r="D22" s="3">
        <v>87.2</v>
      </c>
      <c r="E22" s="3">
        <f t="shared" si="7"/>
        <v>87.2</v>
      </c>
      <c r="G22" t="s">
        <v>44</v>
      </c>
      <c r="I22" t="s">
        <v>45</v>
      </c>
      <c r="J22" t="s">
        <v>46</v>
      </c>
      <c r="K22" t="s">
        <v>47</v>
      </c>
      <c r="M22" t="s">
        <v>27</v>
      </c>
      <c r="O22">
        <f t="shared" si="0"/>
        <v>24</v>
      </c>
      <c r="P22">
        <f t="shared" si="1"/>
        <v>24</v>
      </c>
      <c r="Q22">
        <f t="shared" si="2"/>
        <v>0</v>
      </c>
      <c r="R22" t="str">
        <f t="shared" si="3"/>
        <v>&lt;1 second</v>
      </c>
      <c r="S22">
        <f t="shared" si="4"/>
        <v>1</v>
      </c>
      <c r="T22">
        <f t="shared" si="5"/>
        <v>0.5</v>
      </c>
    </row>
    <row r="23" spans="4:20" x14ac:dyDescent="0.2">
      <c r="D23" s="3">
        <v>87.2</v>
      </c>
      <c r="E23" s="3">
        <f t="shared" si="7"/>
        <v>87.2</v>
      </c>
      <c r="G23" t="s">
        <v>49</v>
      </c>
      <c r="I23" t="s">
        <v>45</v>
      </c>
      <c r="J23" t="s">
        <v>46</v>
      </c>
      <c r="K23" t="s">
        <v>47</v>
      </c>
      <c r="M23" t="s">
        <v>27</v>
      </c>
      <c r="O23">
        <f t="shared" si="0"/>
        <v>24</v>
      </c>
      <c r="P23">
        <f t="shared" si="1"/>
        <v>24</v>
      </c>
      <c r="Q23">
        <f t="shared" si="2"/>
        <v>0</v>
      </c>
      <c r="R23" t="str">
        <f t="shared" si="3"/>
        <v>&lt;1 second</v>
      </c>
      <c r="S23">
        <f t="shared" si="4"/>
        <v>1</v>
      </c>
      <c r="T23">
        <f t="shared" si="5"/>
        <v>0.5</v>
      </c>
    </row>
    <row r="24" spans="4:20" x14ac:dyDescent="0.2">
      <c r="D24" s="3">
        <v>87.21</v>
      </c>
      <c r="E24" s="3">
        <f t="shared" si="7"/>
        <v>87.21</v>
      </c>
      <c r="F24" t="s">
        <v>30</v>
      </c>
      <c r="G24" t="s">
        <v>31</v>
      </c>
      <c r="I24" t="s">
        <v>32</v>
      </c>
      <c r="J24" t="s">
        <v>33</v>
      </c>
      <c r="K24" t="s">
        <v>26</v>
      </c>
      <c r="M24" t="s">
        <v>34</v>
      </c>
      <c r="O24">
        <f t="shared" si="0"/>
        <v>24.999999999999091</v>
      </c>
      <c r="P24">
        <f t="shared" si="1"/>
        <v>24.999999999999091</v>
      </c>
      <c r="Q24">
        <f t="shared" si="2"/>
        <v>0</v>
      </c>
      <c r="R24" t="str">
        <f t="shared" si="3"/>
        <v>&lt;1 second</v>
      </c>
      <c r="S24">
        <f t="shared" si="4"/>
        <v>1</v>
      </c>
      <c r="T24">
        <f t="shared" si="5"/>
        <v>0.5</v>
      </c>
    </row>
    <row r="25" spans="4:20" x14ac:dyDescent="0.2">
      <c r="D25" s="3">
        <v>87.22</v>
      </c>
      <c r="E25" s="3">
        <f t="shared" si="7"/>
        <v>87.22</v>
      </c>
      <c r="G25" s="17" t="s">
        <v>36</v>
      </c>
      <c r="I25" s="19" t="s">
        <v>37</v>
      </c>
      <c r="J25" s="19" t="s">
        <v>58</v>
      </c>
      <c r="K25" t="s">
        <v>26</v>
      </c>
      <c r="M25" t="s">
        <v>27</v>
      </c>
      <c r="O25">
        <f t="shared" si="0"/>
        <v>26</v>
      </c>
      <c r="P25">
        <f t="shared" si="1"/>
        <v>26</v>
      </c>
      <c r="Q25">
        <f t="shared" si="2"/>
        <v>0</v>
      </c>
      <c r="R25" t="str">
        <f t="shared" si="3"/>
        <v>&lt;1 second</v>
      </c>
      <c r="S25">
        <f t="shared" si="4"/>
        <v>1</v>
      </c>
      <c r="T25">
        <f t="shared" si="5"/>
        <v>0.5</v>
      </c>
    </row>
    <row r="26" spans="4:20" x14ac:dyDescent="0.2">
      <c r="D26" s="3">
        <v>87.22</v>
      </c>
      <c r="E26" s="3">
        <v>87.23</v>
      </c>
      <c r="F26" t="s">
        <v>39</v>
      </c>
      <c r="G26" t="s">
        <v>353</v>
      </c>
      <c r="I26" t="s">
        <v>28</v>
      </c>
      <c r="J26" t="s">
        <v>29</v>
      </c>
      <c r="K26" t="s">
        <v>26</v>
      </c>
      <c r="M26" t="s">
        <v>27</v>
      </c>
      <c r="O26">
        <f t="shared" si="0"/>
        <v>26</v>
      </c>
      <c r="P26">
        <f t="shared" si="1"/>
        <v>27</v>
      </c>
      <c r="Q26">
        <f t="shared" si="2"/>
        <v>1</v>
      </c>
      <c r="R26" t="str">
        <f t="shared" si="3"/>
        <v>&lt;2 seconds</v>
      </c>
      <c r="S26">
        <f t="shared" si="4"/>
        <v>2</v>
      </c>
      <c r="T26">
        <f t="shared" si="5"/>
        <v>1.5</v>
      </c>
    </row>
    <row r="27" spans="4:20" x14ac:dyDescent="0.2">
      <c r="D27" s="3">
        <v>87.23</v>
      </c>
      <c r="E27" s="3">
        <f t="shared" ref="E27:E35" si="8">D27</f>
        <v>87.23</v>
      </c>
      <c r="G27" s="17" t="s">
        <v>36</v>
      </c>
      <c r="I27" s="23" t="s">
        <v>37</v>
      </c>
      <c r="J27" s="19" t="s">
        <v>58</v>
      </c>
      <c r="K27" t="s">
        <v>26</v>
      </c>
      <c r="M27" t="s">
        <v>27</v>
      </c>
      <c r="O27">
        <f t="shared" si="0"/>
        <v>27</v>
      </c>
      <c r="P27">
        <f t="shared" si="1"/>
        <v>27</v>
      </c>
      <c r="Q27">
        <f t="shared" si="2"/>
        <v>0</v>
      </c>
      <c r="R27" t="str">
        <f t="shared" si="3"/>
        <v>&lt;1 second</v>
      </c>
      <c r="S27">
        <f t="shared" si="4"/>
        <v>1</v>
      </c>
      <c r="T27">
        <f t="shared" si="5"/>
        <v>0.5</v>
      </c>
    </row>
    <row r="28" spans="4:20" x14ac:dyDescent="0.2">
      <c r="D28" s="3">
        <v>87.23</v>
      </c>
      <c r="E28" s="3">
        <f t="shared" si="8"/>
        <v>87.23</v>
      </c>
      <c r="F28" t="s">
        <v>39</v>
      </c>
      <c r="G28" t="s">
        <v>353</v>
      </c>
      <c r="I28" t="s">
        <v>28</v>
      </c>
      <c r="J28" t="s">
        <v>29</v>
      </c>
      <c r="K28" t="s">
        <v>26</v>
      </c>
      <c r="M28" t="s">
        <v>27</v>
      </c>
      <c r="O28">
        <f t="shared" si="0"/>
        <v>27</v>
      </c>
      <c r="P28">
        <f t="shared" si="1"/>
        <v>27</v>
      </c>
      <c r="Q28">
        <f t="shared" si="2"/>
        <v>0</v>
      </c>
      <c r="R28" t="str">
        <f t="shared" si="3"/>
        <v>&lt;1 second</v>
      </c>
      <c r="S28">
        <f t="shared" si="4"/>
        <v>1</v>
      </c>
      <c r="T28">
        <f t="shared" si="5"/>
        <v>0.5</v>
      </c>
    </row>
    <row r="29" spans="4:20" x14ac:dyDescent="0.2">
      <c r="D29" s="3">
        <v>87.24</v>
      </c>
      <c r="E29" s="3">
        <f t="shared" si="8"/>
        <v>87.24</v>
      </c>
      <c r="G29" t="s">
        <v>55</v>
      </c>
      <c r="I29" t="s">
        <v>56</v>
      </c>
      <c r="J29" t="s">
        <v>38</v>
      </c>
      <c r="K29" t="s">
        <v>26</v>
      </c>
      <c r="M29" t="s">
        <v>27</v>
      </c>
      <c r="O29">
        <f t="shared" si="0"/>
        <v>27.999999999999091</v>
      </c>
      <c r="P29">
        <f t="shared" si="1"/>
        <v>27.999999999999091</v>
      </c>
      <c r="Q29">
        <f t="shared" si="2"/>
        <v>0</v>
      </c>
      <c r="R29" t="str">
        <f t="shared" si="3"/>
        <v>&lt;1 second</v>
      </c>
      <c r="S29">
        <f t="shared" si="4"/>
        <v>1</v>
      </c>
      <c r="T29">
        <f t="shared" si="5"/>
        <v>0.5</v>
      </c>
    </row>
    <row r="30" spans="4:20" x14ac:dyDescent="0.2">
      <c r="D30" s="3">
        <v>87.25</v>
      </c>
      <c r="E30" s="3">
        <f t="shared" si="8"/>
        <v>87.25</v>
      </c>
      <c r="F30" t="s">
        <v>59</v>
      </c>
      <c r="G30" t="s">
        <v>31</v>
      </c>
      <c r="I30" s="19" t="s">
        <v>37</v>
      </c>
      <c r="J30" s="22" t="s">
        <v>59</v>
      </c>
      <c r="K30" t="s">
        <v>26</v>
      </c>
      <c r="M30" t="s">
        <v>27</v>
      </c>
      <c r="O30">
        <f t="shared" si="0"/>
        <v>29</v>
      </c>
      <c r="P30">
        <f t="shared" si="1"/>
        <v>29</v>
      </c>
      <c r="Q30">
        <f t="shared" si="2"/>
        <v>0</v>
      </c>
      <c r="R30" t="str">
        <f t="shared" si="3"/>
        <v>&lt;1 second</v>
      </c>
      <c r="S30">
        <f t="shared" si="4"/>
        <v>1</v>
      </c>
      <c r="T30">
        <f t="shared" si="5"/>
        <v>0.5</v>
      </c>
    </row>
    <row r="31" spans="4:20" x14ac:dyDescent="0.2">
      <c r="D31" s="3">
        <v>87.25</v>
      </c>
      <c r="E31" s="3">
        <f t="shared" si="8"/>
        <v>87.25</v>
      </c>
      <c r="F31" t="s">
        <v>60</v>
      </c>
      <c r="G31" t="s">
        <v>23</v>
      </c>
      <c r="I31" t="s">
        <v>24</v>
      </c>
      <c r="J31" t="s">
        <v>25</v>
      </c>
      <c r="K31" t="s">
        <v>26</v>
      </c>
      <c r="M31" t="s">
        <v>27</v>
      </c>
      <c r="O31">
        <f t="shared" si="0"/>
        <v>29</v>
      </c>
      <c r="P31">
        <f t="shared" si="1"/>
        <v>29</v>
      </c>
      <c r="Q31">
        <f t="shared" si="2"/>
        <v>0</v>
      </c>
      <c r="R31" t="str">
        <f t="shared" si="3"/>
        <v>&lt;1 second</v>
      </c>
      <c r="S31">
        <f t="shared" si="4"/>
        <v>1</v>
      </c>
      <c r="T31">
        <f t="shared" si="5"/>
        <v>0.5</v>
      </c>
    </row>
    <row r="32" spans="4:20" x14ac:dyDescent="0.2">
      <c r="D32" s="3">
        <v>87.26</v>
      </c>
      <c r="E32" s="3">
        <f t="shared" si="8"/>
        <v>87.26</v>
      </c>
      <c r="G32" t="s">
        <v>353</v>
      </c>
      <c r="I32" t="s">
        <v>28</v>
      </c>
      <c r="J32" t="s">
        <v>29</v>
      </c>
      <c r="K32" t="s">
        <v>26</v>
      </c>
      <c r="M32" t="s">
        <v>27</v>
      </c>
      <c r="O32">
        <f t="shared" si="0"/>
        <v>30.000000000000909</v>
      </c>
      <c r="P32">
        <f t="shared" si="1"/>
        <v>30.000000000000909</v>
      </c>
      <c r="Q32">
        <f t="shared" si="2"/>
        <v>0</v>
      </c>
      <c r="R32" t="str">
        <f t="shared" si="3"/>
        <v>&lt;1 second</v>
      </c>
      <c r="S32">
        <f t="shared" si="4"/>
        <v>1</v>
      </c>
      <c r="T32">
        <f t="shared" si="5"/>
        <v>0.5</v>
      </c>
    </row>
    <row r="33" spans="4:20" x14ac:dyDescent="0.2">
      <c r="D33" s="3">
        <v>87.3</v>
      </c>
      <c r="E33" s="3">
        <f t="shared" si="8"/>
        <v>87.3</v>
      </c>
      <c r="F33" t="s">
        <v>30</v>
      </c>
      <c r="G33" t="s">
        <v>31</v>
      </c>
      <c r="I33" t="s">
        <v>32</v>
      </c>
      <c r="J33" t="s">
        <v>33</v>
      </c>
      <c r="K33" t="s">
        <v>26</v>
      </c>
      <c r="M33" t="s">
        <v>34</v>
      </c>
      <c r="O33">
        <f t="shared" si="0"/>
        <v>34</v>
      </c>
      <c r="P33">
        <f t="shared" si="1"/>
        <v>34</v>
      </c>
      <c r="Q33">
        <f t="shared" si="2"/>
        <v>0</v>
      </c>
      <c r="R33" t="str">
        <f t="shared" si="3"/>
        <v>&lt;1 second</v>
      </c>
      <c r="S33">
        <f t="shared" si="4"/>
        <v>1</v>
      </c>
      <c r="T33">
        <f t="shared" si="5"/>
        <v>0.5</v>
      </c>
    </row>
    <row r="34" spans="4:20" x14ac:dyDescent="0.2">
      <c r="D34" s="3">
        <v>87.31</v>
      </c>
      <c r="E34" s="3">
        <f t="shared" si="8"/>
        <v>87.31</v>
      </c>
      <c r="F34" t="s">
        <v>61</v>
      </c>
      <c r="G34" s="17" t="s">
        <v>62</v>
      </c>
      <c r="I34" t="s">
        <v>61</v>
      </c>
      <c r="J34" t="s">
        <v>61</v>
      </c>
      <c r="K34" t="s">
        <v>26</v>
      </c>
      <c r="M34" t="s">
        <v>27</v>
      </c>
      <c r="O34">
        <f t="shared" ref="O34:O58" si="9">(INT(D34)*60+(D34-INT(D34))*100)-(INT($D$2)*60+($D$2-INT($D$2))*100)</f>
        <v>35</v>
      </c>
      <c r="P34">
        <f t="shared" ref="P34:P58" si="10">(INT(E34)*60+(E34-INT(E34))*100)-(INT($D$2)*60+($D$2-INT($D$2))*100)</f>
        <v>35</v>
      </c>
      <c r="Q34">
        <f t="shared" ref="Q34:Q58" si="11">P34-O34</f>
        <v>0</v>
      </c>
      <c r="R34" t="str">
        <f t="shared" ref="R34:R58" si="12">IF(Q34=0,"&lt;1 second","&lt;"&amp;(ROUND(Q34,2)+1)&amp;" seconds")</f>
        <v>&lt;1 second</v>
      </c>
      <c r="S34">
        <f t="shared" ref="S34:S58" si="13">Q34+1</f>
        <v>1</v>
      </c>
      <c r="T34">
        <f t="shared" ref="T34:T58" si="14">Q34+0.5</f>
        <v>0.5</v>
      </c>
    </row>
    <row r="35" spans="4:20" x14ac:dyDescent="0.2">
      <c r="D35" s="3">
        <v>87.33</v>
      </c>
      <c r="E35" s="3">
        <f t="shared" si="8"/>
        <v>87.33</v>
      </c>
      <c r="G35" s="17" t="s">
        <v>36</v>
      </c>
      <c r="I35" s="23" t="s">
        <v>37</v>
      </c>
      <c r="J35" s="19" t="s">
        <v>58</v>
      </c>
      <c r="K35" t="s">
        <v>26</v>
      </c>
      <c r="M35" t="s">
        <v>27</v>
      </c>
      <c r="O35">
        <f t="shared" si="9"/>
        <v>37</v>
      </c>
      <c r="P35">
        <f t="shared" si="10"/>
        <v>37</v>
      </c>
      <c r="Q35">
        <f t="shared" si="11"/>
        <v>0</v>
      </c>
      <c r="R35" t="str">
        <f t="shared" si="12"/>
        <v>&lt;1 second</v>
      </c>
      <c r="S35">
        <f t="shared" si="13"/>
        <v>1</v>
      </c>
      <c r="T35">
        <f t="shared" si="14"/>
        <v>0.5</v>
      </c>
    </row>
    <row r="36" spans="4:20" x14ac:dyDescent="0.2">
      <c r="D36" s="3">
        <v>87.33</v>
      </c>
      <c r="E36" s="3">
        <v>87.34</v>
      </c>
      <c r="F36" t="s">
        <v>39</v>
      </c>
      <c r="G36" t="s">
        <v>353</v>
      </c>
      <c r="I36" t="s">
        <v>28</v>
      </c>
      <c r="J36" t="s">
        <v>29</v>
      </c>
      <c r="K36" t="s">
        <v>26</v>
      </c>
      <c r="M36" t="s">
        <v>27</v>
      </c>
      <c r="O36">
        <f t="shared" si="9"/>
        <v>37</v>
      </c>
      <c r="P36">
        <f t="shared" si="10"/>
        <v>38</v>
      </c>
      <c r="Q36">
        <f t="shared" si="11"/>
        <v>1</v>
      </c>
      <c r="R36" t="str">
        <f t="shared" si="12"/>
        <v>&lt;2 seconds</v>
      </c>
      <c r="S36">
        <f t="shared" si="13"/>
        <v>2</v>
      </c>
      <c r="T36">
        <f t="shared" si="14"/>
        <v>1.5</v>
      </c>
    </row>
    <row r="37" spans="4:20" x14ac:dyDescent="0.2">
      <c r="D37" s="3">
        <v>87.34</v>
      </c>
      <c r="E37" s="3">
        <f>D37</f>
        <v>87.34</v>
      </c>
      <c r="G37" s="17" t="s">
        <v>36</v>
      </c>
      <c r="I37" s="23" t="s">
        <v>37</v>
      </c>
      <c r="J37" s="19" t="s">
        <v>58</v>
      </c>
      <c r="K37" t="s">
        <v>26</v>
      </c>
      <c r="M37" t="s">
        <v>27</v>
      </c>
      <c r="O37">
        <f t="shared" si="9"/>
        <v>38</v>
      </c>
      <c r="P37">
        <f t="shared" si="10"/>
        <v>38</v>
      </c>
      <c r="Q37">
        <f t="shared" si="11"/>
        <v>0</v>
      </c>
      <c r="R37" t="str">
        <f t="shared" si="12"/>
        <v>&lt;1 second</v>
      </c>
      <c r="S37">
        <f t="shared" si="13"/>
        <v>1</v>
      </c>
      <c r="T37">
        <f t="shared" si="14"/>
        <v>0.5</v>
      </c>
    </row>
    <row r="38" spans="4:20" x14ac:dyDescent="0.2">
      <c r="D38" s="3">
        <v>87.34</v>
      </c>
      <c r="E38" s="3">
        <v>87.37</v>
      </c>
      <c r="G38" t="s">
        <v>63</v>
      </c>
      <c r="I38" t="s">
        <v>28</v>
      </c>
      <c r="J38" t="s">
        <v>64</v>
      </c>
      <c r="K38" t="s">
        <v>26</v>
      </c>
      <c r="M38" t="s">
        <v>65</v>
      </c>
      <c r="O38">
        <f t="shared" si="9"/>
        <v>38</v>
      </c>
      <c r="P38">
        <f t="shared" si="10"/>
        <v>41</v>
      </c>
      <c r="Q38">
        <f t="shared" si="11"/>
        <v>3</v>
      </c>
      <c r="R38" t="str">
        <f t="shared" si="12"/>
        <v>&lt;4 seconds</v>
      </c>
      <c r="S38">
        <f t="shared" si="13"/>
        <v>4</v>
      </c>
      <c r="T38">
        <f t="shared" si="14"/>
        <v>3.5</v>
      </c>
    </row>
    <row r="39" spans="4:20" x14ac:dyDescent="0.2">
      <c r="D39" s="3">
        <v>87.37</v>
      </c>
      <c r="E39" s="3">
        <f>D39</f>
        <v>87.37</v>
      </c>
      <c r="G39" s="17" t="s">
        <v>66</v>
      </c>
      <c r="I39" s="23" t="s">
        <v>37</v>
      </c>
      <c r="J39" s="19" t="s">
        <v>58</v>
      </c>
      <c r="K39" t="s">
        <v>26</v>
      </c>
      <c r="M39" t="s">
        <v>27</v>
      </c>
      <c r="O39">
        <f t="shared" si="9"/>
        <v>41</v>
      </c>
      <c r="P39">
        <f t="shared" si="10"/>
        <v>41</v>
      </c>
      <c r="Q39">
        <f t="shared" si="11"/>
        <v>0</v>
      </c>
      <c r="R39" t="str">
        <f t="shared" si="12"/>
        <v>&lt;1 second</v>
      </c>
      <c r="S39">
        <f t="shared" si="13"/>
        <v>1</v>
      </c>
      <c r="T39">
        <f t="shared" si="14"/>
        <v>0.5</v>
      </c>
    </row>
    <row r="40" spans="4:20" x14ac:dyDescent="0.2">
      <c r="D40" s="3">
        <v>87.38</v>
      </c>
      <c r="E40" s="3">
        <v>87.39</v>
      </c>
      <c r="F40" t="s">
        <v>67</v>
      </c>
      <c r="G40" t="s">
        <v>68</v>
      </c>
      <c r="O40">
        <f t="shared" si="9"/>
        <v>42</v>
      </c>
      <c r="P40">
        <f t="shared" si="10"/>
        <v>43</v>
      </c>
      <c r="Q40">
        <f t="shared" si="11"/>
        <v>1</v>
      </c>
      <c r="R40" t="str">
        <f t="shared" si="12"/>
        <v>&lt;2 seconds</v>
      </c>
      <c r="S40">
        <f t="shared" si="13"/>
        <v>2</v>
      </c>
      <c r="T40">
        <f t="shared" si="14"/>
        <v>1.5</v>
      </c>
    </row>
    <row r="41" spans="4:20" x14ac:dyDescent="0.2">
      <c r="D41" s="3">
        <v>87.39</v>
      </c>
      <c r="E41" s="3">
        <f>D41</f>
        <v>87.39</v>
      </c>
      <c r="G41" t="s">
        <v>50</v>
      </c>
      <c r="I41" t="s">
        <v>24</v>
      </c>
      <c r="J41" t="s">
        <v>51</v>
      </c>
      <c r="K41" t="s">
        <v>26</v>
      </c>
      <c r="M41" t="s">
        <v>27</v>
      </c>
      <c r="O41">
        <f t="shared" si="9"/>
        <v>43</v>
      </c>
      <c r="P41">
        <f t="shared" si="10"/>
        <v>43</v>
      </c>
      <c r="Q41">
        <f t="shared" si="11"/>
        <v>0</v>
      </c>
      <c r="R41" t="str">
        <f t="shared" si="12"/>
        <v>&lt;1 second</v>
      </c>
      <c r="S41">
        <f t="shared" si="13"/>
        <v>1</v>
      </c>
      <c r="T41">
        <f t="shared" si="14"/>
        <v>0.5</v>
      </c>
    </row>
    <row r="42" spans="4:20" x14ac:dyDescent="0.2">
      <c r="D42" s="3">
        <v>87.4</v>
      </c>
      <c r="E42" s="3">
        <f>D42</f>
        <v>87.4</v>
      </c>
      <c r="G42" t="s">
        <v>23</v>
      </c>
      <c r="I42" t="s">
        <v>24</v>
      </c>
      <c r="J42" t="s">
        <v>25</v>
      </c>
      <c r="K42" t="s">
        <v>26</v>
      </c>
      <c r="M42" t="s">
        <v>27</v>
      </c>
      <c r="O42">
        <f t="shared" si="9"/>
        <v>44.000000000000909</v>
      </c>
      <c r="P42">
        <f t="shared" si="10"/>
        <v>44.000000000000909</v>
      </c>
      <c r="Q42">
        <f t="shared" si="11"/>
        <v>0</v>
      </c>
      <c r="R42" t="str">
        <f t="shared" si="12"/>
        <v>&lt;1 second</v>
      </c>
      <c r="S42">
        <f t="shared" si="13"/>
        <v>1</v>
      </c>
      <c r="T42">
        <f t="shared" si="14"/>
        <v>0.5</v>
      </c>
    </row>
    <row r="43" spans="4:20" x14ac:dyDescent="0.2">
      <c r="D43" s="3">
        <v>87.4</v>
      </c>
      <c r="E43" s="3">
        <f>D43</f>
        <v>87.4</v>
      </c>
      <c r="F43" t="s">
        <v>43</v>
      </c>
      <c r="G43" t="s">
        <v>44</v>
      </c>
      <c r="I43" t="s">
        <v>45</v>
      </c>
      <c r="J43" t="s">
        <v>46</v>
      </c>
      <c r="K43" t="s">
        <v>47</v>
      </c>
      <c r="M43" t="s">
        <v>27</v>
      </c>
      <c r="O43">
        <f t="shared" si="9"/>
        <v>44.000000000000909</v>
      </c>
      <c r="P43">
        <f t="shared" si="10"/>
        <v>44.000000000000909</v>
      </c>
      <c r="Q43">
        <f t="shared" si="11"/>
        <v>0</v>
      </c>
      <c r="R43" t="str">
        <f t="shared" si="12"/>
        <v>&lt;1 second</v>
      </c>
      <c r="S43">
        <f t="shared" si="13"/>
        <v>1</v>
      </c>
      <c r="T43">
        <f t="shared" si="14"/>
        <v>0.5</v>
      </c>
    </row>
    <row r="44" spans="4:20" x14ac:dyDescent="0.2">
      <c r="D44" s="3">
        <v>87.42</v>
      </c>
      <c r="E44" s="3">
        <f>D44</f>
        <v>87.42</v>
      </c>
      <c r="F44" t="s">
        <v>43</v>
      </c>
      <c r="G44" t="s">
        <v>44</v>
      </c>
      <c r="I44" t="s">
        <v>45</v>
      </c>
      <c r="J44" t="s">
        <v>46</v>
      </c>
      <c r="K44" t="s">
        <v>47</v>
      </c>
      <c r="M44" t="s">
        <v>27</v>
      </c>
      <c r="O44">
        <f t="shared" si="9"/>
        <v>46</v>
      </c>
      <c r="P44">
        <f t="shared" si="10"/>
        <v>46</v>
      </c>
      <c r="Q44">
        <f t="shared" si="11"/>
        <v>0</v>
      </c>
      <c r="R44" t="str">
        <f t="shared" si="12"/>
        <v>&lt;1 second</v>
      </c>
      <c r="S44">
        <f t="shared" si="13"/>
        <v>1</v>
      </c>
      <c r="T44">
        <f t="shared" si="14"/>
        <v>0.5</v>
      </c>
    </row>
    <row r="45" spans="4:20" x14ac:dyDescent="0.2">
      <c r="D45" s="3">
        <v>87.42</v>
      </c>
      <c r="E45" s="3">
        <v>87.43</v>
      </c>
      <c r="F45" t="s">
        <v>69</v>
      </c>
      <c r="G45" t="s">
        <v>49</v>
      </c>
      <c r="I45" t="s">
        <v>45</v>
      </c>
      <c r="J45" t="s">
        <v>46</v>
      </c>
      <c r="K45" t="s">
        <v>47</v>
      </c>
      <c r="M45" t="s">
        <v>27</v>
      </c>
      <c r="O45">
        <f t="shared" si="9"/>
        <v>46</v>
      </c>
      <c r="P45">
        <f t="shared" si="10"/>
        <v>47.000000000000909</v>
      </c>
      <c r="Q45">
        <f t="shared" si="11"/>
        <v>1.0000000000009095</v>
      </c>
      <c r="R45" t="str">
        <f t="shared" si="12"/>
        <v>&lt;2 seconds</v>
      </c>
      <c r="S45">
        <f t="shared" si="13"/>
        <v>2.0000000000009095</v>
      </c>
      <c r="T45">
        <f t="shared" si="14"/>
        <v>1.5000000000009095</v>
      </c>
    </row>
    <row r="46" spans="4:20" x14ac:dyDescent="0.2">
      <c r="D46" s="3">
        <v>87.43</v>
      </c>
      <c r="E46" s="3">
        <f>D46</f>
        <v>87.43</v>
      </c>
      <c r="G46" t="s">
        <v>70</v>
      </c>
      <c r="I46" t="s">
        <v>24</v>
      </c>
      <c r="J46" t="s">
        <v>71</v>
      </c>
      <c r="K46" t="s">
        <v>26</v>
      </c>
      <c r="M46" t="s">
        <v>27</v>
      </c>
      <c r="O46">
        <f t="shared" si="9"/>
        <v>47.000000000000909</v>
      </c>
      <c r="P46">
        <f t="shared" si="10"/>
        <v>47.000000000000909</v>
      </c>
      <c r="Q46">
        <f t="shared" si="11"/>
        <v>0</v>
      </c>
      <c r="R46" t="str">
        <f t="shared" si="12"/>
        <v>&lt;1 second</v>
      </c>
      <c r="S46">
        <f t="shared" si="13"/>
        <v>1</v>
      </c>
      <c r="T46">
        <f t="shared" si="14"/>
        <v>0.5</v>
      </c>
    </row>
    <row r="47" spans="4:20" x14ac:dyDescent="0.2">
      <c r="D47" s="3">
        <v>87.43</v>
      </c>
      <c r="E47" s="3">
        <v>87.44</v>
      </c>
      <c r="G47" t="s">
        <v>72</v>
      </c>
      <c r="I47" t="s">
        <v>73</v>
      </c>
      <c r="J47" t="s">
        <v>73</v>
      </c>
      <c r="K47" t="s">
        <v>42</v>
      </c>
      <c r="M47" t="s">
        <v>27</v>
      </c>
      <c r="O47">
        <f t="shared" si="9"/>
        <v>47.000000000000909</v>
      </c>
      <c r="P47">
        <f t="shared" si="10"/>
        <v>48</v>
      </c>
      <c r="Q47">
        <f t="shared" si="11"/>
        <v>0.99999999999909051</v>
      </c>
      <c r="R47" t="str">
        <f t="shared" si="12"/>
        <v>&lt;2 seconds</v>
      </c>
      <c r="S47">
        <f t="shared" si="13"/>
        <v>1.9999999999990905</v>
      </c>
      <c r="T47">
        <f t="shared" si="14"/>
        <v>1.4999999999990905</v>
      </c>
    </row>
    <row r="48" spans="4:20" x14ac:dyDescent="0.2">
      <c r="D48" s="3">
        <v>87.45</v>
      </c>
      <c r="E48" s="3">
        <f>D48</f>
        <v>87.45</v>
      </c>
      <c r="G48" t="s">
        <v>50</v>
      </c>
      <c r="I48" t="s">
        <v>24</v>
      </c>
      <c r="J48" t="s">
        <v>51</v>
      </c>
      <c r="K48" t="s">
        <v>26</v>
      </c>
      <c r="M48" t="s">
        <v>27</v>
      </c>
      <c r="O48">
        <f t="shared" si="9"/>
        <v>49</v>
      </c>
      <c r="P48">
        <f t="shared" si="10"/>
        <v>49</v>
      </c>
      <c r="Q48">
        <f t="shared" si="11"/>
        <v>0</v>
      </c>
      <c r="R48" t="str">
        <f t="shared" si="12"/>
        <v>&lt;1 second</v>
      </c>
      <c r="S48">
        <f t="shared" si="13"/>
        <v>1</v>
      </c>
      <c r="T48">
        <f t="shared" si="14"/>
        <v>0.5</v>
      </c>
    </row>
    <row r="49" spans="4:20" x14ac:dyDescent="0.2">
      <c r="D49" s="3">
        <v>87.46</v>
      </c>
      <c r="E49" s="3">
        <v>87.46</v>
      </c>
      <c r="G49" t="s">
        <v>23</v>
      </c>
      <c r="I49" t="s">
        <v>24</v>
      </c>
      <c r="J49" t="s">
        <v>25</v>
      </c>
      <c r="K49" t="s">
        <v>26</v>
      </c>
      <c r="M49" t="s">
        <v>27</v>
      </c>
      <c r="O49">
        <f t="shared" si="9"/>
        <v>49.999999999999091</v>
      </c>
      <c r="P49">
        <f t="shared" si="10"/>
        <v>49.999999999999091</v>
      </c>
      <c r="Q49">
        <f t="shared" si="11"/>
        <v>0</v>
      </c>
      <c r="R49" t="str">
        <f t="shared" si="12"/>
        <v>&lt;1 second</v>
      </c>
      <c r="S49">
        <f t="shared" si="13"/>
        <v>1</v>
      </c>
      <c r="T49">
        <f t="shared" si="14"/>
        <v>0.5</v>
      </c>
    </row>
    <row r="50" spans="4:20" x14ac:dyDescent="0.2">
      <c r="D50" s="3">
        <v>87.46</v>
      </c>
      <c r="E50" s="3">
        <f>D50</f>
        <v>87.46</v>
      </c>
      <c r="F50" t="s">
        <v>43</v>
      </c>
      <c r="G50" t="s">
        <v>44</v>
      </c>
      <c r="I50" t="s">
        <v>45</v>
      </c>
      <c r="J50" t="s">
        <v>46</v>
      </c>
      <c r="K50" t="s">
        <v>47</v>
      </c>
      <c r="M50" t="s">
        <v>27</v>
      </c>
      <c r="O50">
        <f t="shared" si="9"/>
        <v>49.999999999999091</v>
      </c>
      <c r="P50">
        <f t="shared" si="10"/>
        <v>49.999999999999091</v>
      </c>
      <c r="Q50">
        <f t="shared" si="11"/>
        <v>0</v>
      </c>
      <c r="R50" t="str">
        <f t="shared" si="12"/>
        <v>&lt;1 second</v>
      </c>
      <c r="S50">
        <f t="shared" si="13"/>
        <v>1</v>
      </c>
      <c r="T50">
        <f t="shared" si="14"/>
        <v>0.5</v>
      </c>
    </row>
    <row r="51" spans="4:20" x14ac:dyDescent="0.2">
      <c r="D51" s="3">
        <v>87.46</v>
      </c>
      <c r="E51" s="3">
        <f>D51</f>
        <v>87.46</v>
      </c>
      <c r="G51" t="s">
        <v>70</v>
      </c>
      <c r="I51" t="s">
        <v>24</v>
      </c>
      <c r="J51" t="s">
        <v>71</v>
      </c>
      <c r="K51" t="s">
        <v>26</v>
      </c>
      <c r="M51" t="s">
        <v>27</v>
      </c>
      <c r="O51">
        <f t="shared" si="9"/>
        <v>49.999999999999091</v>
      </c>
      <c r="P51">
        <f t="shared" si="10"/>
        <v>49.999999999999091</v>
      </c>
      <c r="Q51">
        <f t="shared" si="11"/>
        <v>0</v>
      </c>
      <c r="R51" t="str">
        <f t="shared" si="12"/>
        <v>&lt;1 second</v>
      </c>
      <c r="S51">
        <f t="shared" si="13"/>
        <v>1</v>
      </c>
      <c r="T51">
        <f t="shared" si="14"/>
        <v>0.5</v>
      </c>
    </row>
    <row r="52" spans="4:20" x14ac:dyDescent="0.2">
      <c r="D52" s="3">
        <v>87.47</v>
      </c>
      <c r="E52" s="3">
        <v>87.48</v>
      </c>
      <c r="F52" t="s">
        <v>74</v>
      </c>
      <c r="G52" t="s">
        <v>353</v>
      </c>
      <c r="I52" t="s">
        <v>28</v>
      </c>
      <c r="J52" t="s">
        <v>29</v>
      </c>
      <c r="K52" t="s">
        <v>26</v>
      </c>
      <c r="M52" t="s">
        <v>27</v>
      </c>
      <c r="O52">
        <f t="shared" si="9"/>
        <v>51</v>
      </c>
      <c r="P52">
        <f t="shared" si="10"/>
        <v>52</v>
      </c>
      <c r="Q52">
        <f t="shared" si="11"/>
        <v>1</v>
      </c>
      <c r="R52" t="str">
        <f t="shared" si="12"/>
        <v>&lt;2 seconds</v>
      </c>
      <c r="S52">
        <f t="shared" si="13"/>
        <v>2</v>
      </c>
      <c r="T52">
        <f t="shared" si="14"/>
        <v>1.5</v>
      </c>
    </row>
    <row r="53" spans="4:20" x14ac:dyDescent="0.2">
      <c r="D53" s="3">
        <v>87.47</v>
      </c>
      <c r="E53" s="3">
        <v>87.48</v>
      </c>
      <c r="G53" t="s">
        <v>75</v>
      </c>
      <c r="I53" t="s">
        <v>76</v>
      </c>
      <c r="J53" t="s">
        <v>77</v>
      </c>
      <c r="K53" t="s">
        <v>26</v>
      </c>
      <c r="M53" t="s">
        <v>27</v>
      </c>
      <c r="O53">
        <f t="shared" si="9"/>
        <v>51</v>
      </c>
      <c r="P53">
        <f t="shared" si="10"/>
        <v>52</v>
      </c>
      <c r="Q53">
        <f t="shared" si="11"/>
        <v>1</v>
      </c>
      <c r="R53" t="str">
        <f t="shared" si="12"/>
        <v>&lt;2 seconds</v>
      </c>
      <c r="S53">
        <f t="shared" si="13"/>
        <v>2</v>
      </c>
      <c r="T53">
        <f t="shared" si="14"/>
        <v>1.5</v>
      </c>
    </row>
    <row r="54" spans="4:20" x14ac:dyDescent="0.2">
      <c r="D54" s="3">
        <v>87.5</v>
      </c>
      <c r="E54" s="3">
        <f>D54</f>
        <v>87.5</v>
      </c>
      <c r="G54" t="s">
        <v>50</v>
      </c>
      <c r="I54" t="s">
        <v>24</v>
      </c>
      <c r="J54" t="s">
        <v>51</v>
      </c>
      <c r="K54" t="s">
        <v>26</v>
      </c>
      <c r="M54" t="s">
        <v>27</v>
      </c>
      <c r="O54">
        <f t="shared" si="9"/>
        <v>54</v>
      </c>
      <c r="P54">
        <f t="shared" si="10"/>
        <v>54</v>
      </c>
      <c r="Q54">
        <f t="shared" si="11"/>
        <v>0</v>
      </c>
      <c r="R54" t="str">
        <f t="shared" si="12"/>
        <v>&lt;1 second</v>
      </c>
      <c r="S54">
        <f t="shared" si="13"/>
        <v>1</v>
      </c>
      <c r="T54">
        <f t="shared" si="14"/>
        <v>0.5</v>
      </c>
    </row>
    <row r="55" spans="4:20" x14ac:dyDescent="0.2">
      <c r="D55" s="3">
        <v>87.51</v>
      </c>
      <c r="E55" s="3">
        <v>87.52</v>
      </c>
      <c r="G55" s="17" t="s">
        <v>78</v>
      </c>
      <c r="I55" s="19" t="s">
        <v>76</v>
      </c>
      <c r="J55" s="19" t="s">
        <v>77</v>
      </c>
      <c r="K55" t="s">
        <v>26</v>
      </c>
      <c r="M55" t="s">
        <v>27</v>
      </c>
      <c r="O55">
        <f t="shared" si="9"/>
        <v>55.000000000000909</v>
      </c>
      <c r="P55">
        <f t="shared" si="10"/>
        <v>56</v>
      </c>
      <c r="Q55">
        <f t="shared" si="11"/>
        <v>0.99999999999909051</v>
      </c>
      <c r="R55" t="str">
        <f t="shared" si="12"/>
        <v>&lt;2 seconds</v>
      </c>
      <c r="S55">
        <f t="shared" si="13"/>
        <v>1.9999999999990905</v>
      </c>
      <c r="T55">
        <f t="shared" si="14"/>
        <v>1.4999999999990905</v>
      </c>
    </row>
    <row r="56" spans="4:20" x14ac:dyDescent="0.2">
      <c r="D56" s="3">
        <v>87.52</v>
      </c>
      <c r="E56" s="3">
        <v>87.54</v>
      </c>
      <c r="F56" t="s">
        <v>79</v>
      </c>
      <c r="G56" t="s">
        <v>31</v>
      </c>
      <c r="I56" s="19" t="s">
        <v>32</v>
      </c>
      <c r="J56" s="19" t="s">
        <v>80</v>
      </c>
      <c r="K56" t="s">
        <v>26</v>
      </c>
      <c r="M56" t="s">
        <v>34</v>
      </c>
      <c r="O56">
        <f t="shared" si="9"/>
        <v>56</v>
      </c>
      <c r="P56">
        <f t="shared" si="10"/>
        <v>58.000000000000909</v>
      </c>
      <c r="Q56">
        <f t="shared" si="11"/>
        <v>2.0000000000009095</v>
      </c>
      <c r="R56" t="str">
        <f t="shared" si="12"/>
        <v>&lt;3 seconds</v>
      </c>
      <c r="S56">
        <f t="shared" si="13"/>
        <v>3.0000000000009095</v>
      </c>
      <c r="T56">
        <f t="shared" si="14"/>
        <v>2.5000000000009095</v>
      </c>
    </row>
    <row r="57" spans="4:20" x14ac:dyDescent="0.2">
      <c r="D57" s="3">
        <v>87.54</v>
      </c>
      <c r="E57" s="3">
        <v>87.55</v>
      </c>
      <c r="G57" t="s">
        <v>81</v>
      </c>
      <c r="I57" t="s">
        <v>82</v>
      </c>
      <c r="J57" t="s">
        <v>83</v>
      </c>
      <c r="K57" t="s">
        <v>26</v>
      </c>
      <c r="M57" t="s">
        <v>27</v>
      </c>
      <c r="O57">
        <f t="shared" si="9"/>
        <v>58.000000000000909</v>
      </c>
      <c r="P57">
        <f t="shared" si="10"/>
        <v>59</v>
      </c>
      <c r="Q57">
        <f t="shared" si="11"/>
        <v>0.99999999999909051</v>
      </c>
      <c r="R57" t="str">
        <f t="shared" si="12"/>
        <v>&lt;2 seconds</v>
      </c>
      <c r="S57">
        <f t="shared" si="13"/>
        <v>1.9999999999990905</v>
      </c>
      <c r="T57">
        <f t="shared" si="14"/>
        <v>1.4999999999990905</v>
      </c>
    </row>
    <row r="58" spans="4:20" x14ac:dyDescent="0.2">
      <c r="D58" s="3">
        <v>87.55</v>
      </c>
      <c r="E58" s="3">
        <v>87.58</v>
      </c>
      <c r="G58" t="s">
        <v>84</v>
      </c>
      <c r="I58" t="s">
        <v>76</v>
      </c>
      <c r="J58" t="s">
        <v>85</v>
      </c>
      <c r="K58" t="s">
        <v>26</v>
      </c>
      <c r="M58" t="s">
        <v>27</v>
      </c>
      <c r="O58">
        <f t="shared" si="9"/>
        <v>59</v>
      </c>
      <c r="P58">
        <f t="shared" si="10"/>
        <v>62</v>
      </c>
      <c r="Q58">
        <f t="shared" si="11"/>
        <v>3</v>
      </c>
      <c r="R58" t="str">
        <f t="shared" si="12"/>
        <v>&lt;4 seconds</v>
      </c>
      <c r="S58">
        <f t="shared" si="13"/>
        <v>4</v>
      </c>
      <c r="T58">
        <f t="shared" si="14"/>
        <v>3.5</v>
      </c>
    </row>
    <row r="59" spans="4:20" x14ac:dyDescent="0.2">
      <c r="E59" s="3"/>
    </row>
    <row r="60" spans="4:20" x14ac:dyDescent="0.2">
      <c r="E60" s="3"/>
    </row>
    <row r="61" spans="4:20" x14ac:dyDescent="0.2">
      <c r="E61" s="3"/>
    </row>
    <row r="62" spans="4:20" x14ac:dyDescent="0.2">
      <c r="E62" s="3"/>
    </row>
    <row r="63" spans="4:20" x14ac:dyDescent="0.2">
      <c r="E63" s="3"/>
    </row>
    <row r="64" spans="4:20"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800-000003000000}">
      <formula1>"EASY,MEDIUM,HARD,VERY HARD"</formula1>
    </dataValidation>
    <dataValidation type="list" allowBlank="1" showErrorMessage="1" errorTitle="Invalid value" error="Please select a valid value." sqref="K2:L1000" xr:uid="{00000000-0002-0000-0800-000004000000}">
      <formula1>"cursor,keyboard,gesture,complex gesture,multi_step,multi_input"</formula1>
    </dataValidation>
    <dataValidation type="list" allowBlank="1" showErrorMessage="1" errorTitle="Invalid value" error="Please select a valid value." sqref="M2:M1000" xr:uid="{00000000-0002-0000-0800-000006000000}">
      <formula1>"canvas,gui,layers panel"</formula1>
    </dataValidation>
  </dataValidations>
  <hyperlinks>
    <hyperlink ref="B2" r:id="rId1" xr:uid="{00000000-0004-0000-0800-000000000000}"/>
  </hyperlinks>
  <pageMargins left="0.75" right="0.75" top="1" bottom="1" header="0.5" footer="0.5"/>
  <pageSetup paperSize="9" orientation="portrait" horizontalDpi="0" verticalDpi="0"/>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800-000002000000}">
          <x14:formula1>
            <xm:f>_lists!$C$2:$C$1000</xm:f>
          </x14:formula1>
          <xm:sqref>J2:J1000</xm:sqref>
        </x14:dataValidation>
        <x14:dataValidation type="list" allowBlank="1" showErrorMessage="1" errorTitle="Invalid value" error="Please select a valid value." xr:uid="{00000000-0002-0000-0800-000001000000}">
          <x14:formula1>
            <xm:f>_lists!$B$2:$B$1000</xm:f>
          </x14:formula1>
          <xm:sqref>I2:I1000</xm:sqref>
        </x14:dataValidation>
        <x14:dataValidation type="list" allowBlank="1" showErrorMessage="1" errorTitle="Invalid value" error="Please select a valid value." xr:uid="{00000000-0002-0000-0800-000000000000}">
          <x14:formula1>
            <xm:f>_lists!$A$2:$A$1000</xm:f>
          </x14:formula1>
          <xm:sqref>G2:G1000</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81"/>
  <sheetViews>
    <sheetView zoomScale="106" zoomScaleNormal="106"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50.1640625" bestFit="1" customWidth="1"/>
    <col min="7" max="7" width="76.33203125" bestFit="1" customWidth="1"/>
    <col min="8" max="8" width="3.33203125" customWidth="1"/>
    <col min="9" max="10" width="21.6640625" bestFit="1" customWidth="1"/>
    <col min="11" max="11" width="15" customWidth="1"/>
    <col min="12" max="12" width="4"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330</v>
      </c>
      <c r="B2" s="10" t="s">
        <v>331</v>
      </c>
      <c r="C2" t="s">
        <v>332</v>
      </c>
      <c r="D2" s="3">
        <v>55.48</v>
      </c>
      <c r="E2" s="3">
        <v>55.54</v>
      </c>
      <c r="F2" t="s">
        <v>333</v>
      </c>
      <c r="G2" t="s">
        <v>84</v>
      </c>
      <c r="I2" t="s">
        <v>76</v>
      </c>
      <c r="J2" t="s">
        <v>85</v>
      </c>
      <c r="K2" t="s">
        <v>26</v>
      </c>
      <c r="M2" t="s">
        <v>27</v>
      </c>
      <c r="O2">
        <f t="shared" ref="O2:O22" si="0">(INT(D2)*60+(D2-INT(D2))*100)-(INT($D$2)*60+($D$2-INT($D$2))*100)</f>
        <v>0</v>
      </c>
      <c r="P2">
        <f t="shared" ref="P2:P22" si="1">(INT(E2)*60+(E2-INT(E2))*100)-(INT($D$2)*60+($D$2-INT($D$2))*100)</f>
        <v>6.0000000000004547</v>
      </c>
      <c r="Q2">
        <f t="shared" ref="Q2:Q22" si="2">P2-O2</f>
        <v>6.0000000000004547</v>
      </c>
      <c r="R2" t="str">
        <f t="shared" ref="R2:R22" si="3">IF(Q2=0,"&lt;1 second","&lt;"&amp;(ROUND(Q2,2)+1)&amp;" seconds")</f>
        <v>&lt;7 seconds</v>
      </c>
      <c r="S2">
        <f t="shared" ref="S2:S22" si="4">Q2+1</f>
        <v>7.0000000000004547</v>
      </c>
      <c r="T2">
        <f t="shared" ref="T2:T22" si="5">Q2+0.5</f>
        <v>6.5000000000004547</v>
      </c>
    </row>
    <row r="3" spans="1:21" x14ac:dyDescent="0.2">
      <c r="D3" s="3">
        <v>55.55</v>
      </c>
      <c r="E3" s="3">
        <f t="shared" ref="E3:E10" si="6">D3</f>
        <v>55.55</v>
      </c>
      <c r="G3" t="s">
        <v>23</v>
      </c>
      <c r="I3" t="s">
        <v>24</v>
      </c>
      <c r="J3" t="s">
        <v>25</v>
      </c>
      <c r="K3" t="s">
        <v>26</v>
      </c>
      <c r="M3" t="s">
        <v>27</v>
      </c>
      <c r="O3">
        <f t="shared" si="0"/>
        <v>7</v>
      </c>
      <c r="P3">
        <f t="shared" si="1"/>
        <v>7</v>
      </c>
      <c r="Q3">
        <f t="shared" si="2"/>
        <v>0</v>
      </c>
      <c r="R3" t="str">
        <f t="shared" si="3"/>
        <v>&lt;1 second</v>
      </c>
      <c r="S3">
        <f t="shared" si="4"/>
        <v>1</v>
      </c>
      <c r="T3">
        <f t="shared" si="5"/>
        <v>0.5</v>
      </c>
    </row>
    <row r="4" spans="1:21" x14ac:dyDescent="0.2">
      <c r="D4" s="3">
        <v>55.56</v>
      </c>
      <c r="E4" s="3">
        <f t="shared" si="6"/>
        <v>55.56</v>
      </c>
      <c r="G4" t="s">
        <v>50</v>
      </c>
      <c r="I4" t="s">
        <v>24</v>
      </c>
      <c r="J4" t="s">
        <v>51</v>
      </c>
      <c r="K4" t="s">
        <v>26</v>
      </c>
      <c r="M4" t="s">
        <v>27</v>
      </c>
      <c r="O4">
        <f t="shared" si="0"/>
        <v>8.0000000000004547</v>
      </c>
      <c r="P4">
        <f t="shared" si="1"/>
        <v>8.0000000000004547</v>
      </c>
      <c r="Q4">
        <f t="shared" si="2"/>
        <v>0</v>
      </c>
      <c r="R4" t="str">
        <f t="shared" si="3"/>
        <v>&lt;1 second</v>
      </c>
      <c r="S4">
        <f t="shared" si="4"/>
        <v>1</v>
      </c>
      <c r="T4">
        <f t="shared" si="5"/>
        <v>0.5</v>
      </c>
    </row>
    <row r="5" spans="1:21" x14ac:dyDescent="0.2">
      <c r="D5" s="3">
        <v>55.59</v>
      </c>
      <c r="E5" s="3">
        <f t="shared" si="6"/>
        <v>55.59</v>
      </c>
      <c r="G5" t="s">
        <v>84</v>
      </c>
      <c r="I5" t="s">
        <v>76</v>
      </c>
      <c r="J5" t="s">
        <v>85</v>
      </c>
      <c r="K5" t="s">
        <v>26</v>
      </c>
      <c r="M5" t="s">
        <v>27</v>
      </c>
      <c r="O5">
        <f t="shared" si="0"/>
        <v>11.000000000000909</v>
      </c>
      <c r="P5">
        <f t="shared" si="1"/>
        <v>11.000000000000909</v>
      </c>
      <c r="Q5">
        <f t="shared" si="2"/>
        <v>0</v>
      </c>
      <c r="R5" t="str">
        <f t="shared" si="3"/>
        <v>&lt;1 second</v>
      </c>
      <c r="S5">
        <f t="shared" si="4"/>
        <v>1</v>
      </c>
      <c r="T5">
        <f t="shared" si="5"/>
        <v>0.5</v>
      </c>
    </row>
    <row r="6" spans="1:21" x14ac:dyDescent="0.2">
      <c r="D6" s="3">
        <v>56</v>
      </c>
      <c r="E6" s="3">
        <f t="shared" si="6"/>
        <v>56</v>
      </c>
      <c r="G6" t="s">
        <v>23</v>
      </c>
      <c r="I6" t="s">
        <v>24</v>
      </c>
      <c r="J6" t="s">
        <v>25</v>
      </c>
      <c r="K6" t="s">
        <v>26</v>
      </c>
      <c r="M6" t="s">
        <v>27</v>
      </c>
      <c r="O6">
        <f t="shared" si="0"/>
        <v>12.000000000000455</v>
      </c>
      <c r="P6">
        <f t="shared" si="1"/>
        <v>12.000000000000455</v>
      </c>
      <c r="Q6">
        <f t="shared" si="2"/>
        <v>0</v>
      </c>
      <c r="R6" t="str">
        <f t="shared" si="3"/>
        <v>&lt;1 second</v>
      </c>
      <c r="S6">
        <f t="shared" si="4"/>
        <v>1</v>
      </c>
      <c r="T6">
        <f t="shared" si="5"/>
        <v>0.5</v>
      </c>
    </row>
    <row r="7" spans="1:21" x14ac:dyDescent="0.2">
      <c r="D7" s="3">
        <v>56.01</v>
      </c>
      <c r="E7" s="3">
        <f t="shared" si="6"/>
        <v>56.01</v>
      </c>
      <c r="G7" t="s">
        <v>50</v>
      </c>
      <c r="I7" t="s">
        <v>24</v>
      </c>
      <c r="J7" t="s">
        <v>51</v>
      </c>
      <c r="K7" t="s">
        <v>26</v>
      </c>
      <c r="M7" t="s">
        <v>27</v>
      </c>
      <c r="O7">
        <f t="shared" si="0"/>
        <v>13.000000000000455</v>
      </c>
      <c r="P7">
        <f t="shared" si="1"/>
        <v>13.000000000000455</v>
      </c>
      <c r="Q7">
        <f t="shared" si="2"/>
        <v>0</v>
      </c>
      <c r="R7" t="str">
        <f t="shared" si="3"/>
        <v>&lt;1 second</v>
      </c>
      <c r="S7">
        <f t="shared" si="4"/>
        <v>1</v>
      </c>
      <c r="T7">
        <f t="shared" si="5"/>
        <v>0.5</v>
      </c>
    </row>
    <row r="8" spans="1:21" x14ac:dyDescent="0.2">
      <c r="D8" s="3">
        <v>56.02</v>
      </c>
      <c r="E8" s="3">
        <f t="shared" si="6"/>
        <v>56.02</v>
      </c>
      <c r="G8" t="s">
        <v>50</v>
      </c>
      <c r="I8" t="s">
        <v>24</v>
      </c>
      <c r="J8" t="s">
        <v>51</v>
      </c>
      <c r="K8" t="s">
        <v>26</v>
      </c>
      <c r="M8" t="s">
        <v>27</v>
      </c>
      <c r="O8">
        <f t="shared" si="0"/>
        <v>14.000000000000909</v>
      </c>
      <c r="P8">
        <f t="shared" si="1"/>
        <v>14.000000000000909</v>
      </c>
      <c r="Q8">
        <f t="shared" si="2"/>
        <v>0</v>
      </c>
      <c r="R8" t="str">
        <f t="shared" si="3"/>
        <v>&lt;1 second</v>
      </c>
      <c r="S8">
        <f t="shared" si="4"/>
        <v>1</v>
      </c>
      <c r="T8">
        <f t="shared" si="5"/>
        <v>0.5</v>
      </c>
    </row>
    <row r="9" spans="1:21" x14ac:dyDescent="0.2">
      <c r="D9" s="3">
        <v>56.05</v>
      </c>
      <c r="E9" s="3">
        <f t="shared" si="6"/>
        <v>56.05</v>
      </c>
      <c r="G9" t="s">
        <v>225</v>
      </c>
      <c r="I9" t="s">
        <v>226</v>
      </c>
      <c r="J9" t="s">
        <v>226</v>
      </c>
      <c r="K9" t="s">
        <v>42</v>
      </c>
      <c r="M9" t="s">
        <v>27</v>
      </c>
      <c r="O9">
        <f t="shared" si="0"/>
        <v>17</v>
      </c>
      <c r="P9">
        <f t="shared" si="1"/>
        <v>17</v>
      </c>
      <c r="Q9">
        <f t="shared" si="2"/>
        <v>0</v>
      </c>
      <c r="R9" t="str">
        <f t="shared" si="3"/>
        <v>&lt;1 second</v>
      </c>
      <c r="S9">
        <f t="shared" si="4"/>
        <v>1</v>
      </c>
      <c r="T9">
        <f t="shared" si="5"/>
        <v>0.5</v>
      </c>
    </row>
    <row r="10" spans="1:21" x14ac:dyDescent="0.2">
      <c r="D10" s="3">
        <v>56.06</v>
      </c>
      <c r="E10" s="3">
        <f t="shared" si="6"/>
        <v>56.06</v>
      </c>
      <c r="G10" t="s">
        <v>50</v>
      </c>
      <c r="I10" t="s">
        <v>24</v>
      </c>
      <c r="J10" t="s">
        <v>51</v>
      </c>
      <c r="K10" t="s">
        <v>26</v>
      </c>
      <c r="M10" t="s">
        <v>27</v>
      </c>
      <c r="O10">
        <f t="shared" si="0"/>
        <v>18.000000000000455</v>
      </c>
      <c r="P10">
        <f t="shared" si="1"/>
        <v>18.000000000000455</v>
      </c>
      <c r="Q10">
        <f t="shared" si="2"/>
        <v>0</v>
      </c>
      <c r="R10" t="str">
        <f t="shared" si="3"/>
        <v>&lt;1 second</v>
      </c>
      <c r="S10">
        <f t="shared" si="4"/>
        <v>1</v>
      </c>
      <c r="T10">
        <f t="shared" si="5"/>
        <v>0.5</v>
      </c>
    </row>
    <row r="11" spans="1:21" x14ac:dyDescent="0.2">
      <c r="D11" s="3">
        <v>56.07</v>
      </c>
      <c r="E11" s="3">
        <v>56.2</v>
      </c>
      <c r="G11" t="s">
        <v>98</v>
      </c>
      <c r="I11" t="s">
        <v>99</v>
      </c>
      <c r="J11" t="s">
        <v>99</v>
      </c>
      <c r="K11" t="s">
        <v>42</v>
      </c>
      <c r="M11" t="s">
        <v>27</v>
      </c>
      <c r="O11">
        <f t="shared" si="0"/>
        <v>19.000000000000455</v>
      </c>
      <c r="P11">
        <f t="shared" si="1"/>
        <v>32.000000000000909</v>
      </c>
      <c r="Q11">
        <f t="shared" si="2"/>
        <v>13.000000000000455</v>
      </c>
      <c r="R11" t="str">
        <f t="shared" si="3"/>
        <v>&lt;14 seconds</v>
      </c>
      <c r="S11">
        <f t="shared" si="4"/>
        <v>14.000000000000455</v>
      </c>
      <c r="T11">
        <f t="shared" si="5"/>
        <v>13.500000000000455</v>
      </c>
    </row>
    <row r="12" spans="1:21" x14ac:dyDescent="0.2">
      <c r="D12" s="3">
        <v>56.2</v>
      </c>
      <c r="E12" s="3">
        <f>D12</f>
        <v>56.2</v>
      </c>
      <c r="F12" t="s">
        <v>334</v>
      </c>
      <c r="G12" t="s">
        <v>98</v>
      </c>
      <c r="I12" t="s">
        <v>99</v>
      </c>
      <c r="J12" t="s">
        <v>99</v>
      </c>
      <c r="K12" t="s">
        <v>42</v>
      </c>
      <c r="M12" t="s">
        <v>27</v>
      </c>
      <c r="O12">
        <f t="shared" si="0"/>
        <v>32.000000000000909</v>
      </c>
      <c r="P12">
        <f t="shared" si="1"/>
        <v>32.000000000000909</v>
      </c>
      <c r="Q12">
        <f t="shared" si="2"/>
        <v>0</v>
      </c>
      <c r="R12" t="str">
        <f t="shared" si="3"/>
        <v>&lt;1 second</v>
      </c>
      <c r="S12">
        <f t="shared" si="4"/>
        <v>1</v>
      </c>
      <c r="T12">
        <f t="shared" si="5"/>
        <v>0.5</v>
      </c>
    </row>
    <row r="13" spans="1:21" x14ac:dyDescent="0.2">
      <c r="D13" s="3">
        <v>56.22</v>
      </c>
      <c r="E13" s="3">
        <f>D13</f>
        <v>56.22</v>
      </c>
      <c r="G13" t="s">
        <v>23</v>
      </c>
      <c r="I13" t="s">
        <v>24</v>
      </c>
      <c r="J13" t="s">
        <v>25</v>
      </c>
      <c r="K13" t="s">
        <v>26</v>
      </c>
      <c r="M13" t="s">
        <v>27</v>
      </c>
      <c r="O13">
        <f t="shared" si="0"/>
        <v>34.000000000000455</v>
      </c>
      <c r="P13">
        <f t="shared" si="1"/>
        <v>34.000000000000455</v>
      </c>
      <c r="Q13">
        <f t="shared" si="2"/>
        <v>0</v>
      </c>
      <c r="R13" t="str">
        <f t="shared" si="3"/>
        <v>&lt;1 second</v>
      </c>
      <c r="S13">
        <f t="shared" si="4"/>
        <v>1</v>
      </c>
      <c r="T13">
        <f t="shared" si="5"/>
        <v>0.5</v>
      </c>
    </row>
    <row r="14" spans="1:21" x14ac:dyDescent="0.2">
      <c r="D14" s="3">
        <v>56.23</v>
      </c>
      <c r="E14" s="3">
        <f>D14</f>
        <v>56.23</v>
      </c>
      <c r="G14" t="s">
        <v>50</v>
      </c>
      <c r="I14" t="s">
        <v>24</v>
      </c>
      <c r="J14" t="s">
        <v>51</v>
      </c>
      <c r="K14" t="s">
        <v>26</v>
      </c>
      <c r="M14" t="s">
        <v>27</v>
      </c>
      <c r="O14">
        <f t="shared" si="0"/>
        <v>35</v>
      </c>
      <c r="P14">
        <f t="shared" si="1"/>
        <v>35</v>
      </c>
      <c r="Q14">
        <f t="shared" si="2"/>
        <v>0</v>
      </c>
      <c r="R14" t="str">
        <f t="shared" si="3"/>
        <v>&lt;1 second</v>
      </c>
      <c r="S14">
        <f t="shared" si="4"/>
        <v>1</v>
      </c>
      <c r="T14">
        <f t="shared" si="5"/>
        <v>0.5</v>
      </c>
    </row>
    <row r="15" spans="1:21" x14ac:dyDescent="0.2">
      <c r="D15" s="3">
        <v>56.23</v>
      </c>
      <c r="E15" s="3">
        <v>56.29</v>
      </c>
      <c r="F15" t="s">
        <v>335</v>
      </c>
      <c r="G15" t="s">
        <v>84</v>
      </c>
      <c r="I15" t="s">
        <v>76</v>
      </c>
      <c r="J15" t="s">
        <v>85</v>
      </c>
      <c r="K15" t="s">
        <v>26</v>
      </c>
      <c r="M15" t="s">
        <v>27</v>
      </c>
      <c r="O15">
        <f t="shared" si="0"/>
        <v>35</v>
      </c>
      <c r="P15">
        <f t="shared" si="1"/>
        <v>41.000000000000455</v>
      </c>
      <c r="Q15">
        <f t="shared" si="2"/>
        <v>6.0000000000004547</v>
      </c>
      <c r="R15" t="str">
        <f t="shared" si="3"/>
        <v>&lt;7 seconds</v>
      </c>
      <c r="S15">
        <f t="shared" si="4"/>
        <v>7.0000000000004547</v>
      </c>
      <c r="T15">
        <f t="shared" si="5"/>
        <v>6.5000000000004547</v>
      </c>
    </row>
    <row r="16" spans="1:21" x14ac:dyDescent="0.2">
      <c r="D16" s="3">
        <v>56.29</v>
      </c>
      <c r="E16" s="3">
        <f>D16</f>
        <v>56.29</v>
      </c>
      <c r="G16" t="s">
        <v>23</v>
      </c>
      <c r="I16" t="s">
        <v>24</v>
      </c>
      <c r="J16" t="s">
        <v>25</v>
      </c>
      <c r="K16" t="s">
        <v>26</v>
      </c>
      <c r="M16" t="s">
        <v>27</v>
      </c>
      <c r="O16">
        <f t="shared" si="0"/>
        <v>41.000000000000455</v>
      </c>
      <c r="P16">
        <f t="shared" si="1"/>
        <v>41.000000000000455</v>
      </c>
      <c r="Q16">
        <f t="shared" si="2"/>
        <v>0</v>
      </c>
      <c r="R16" t="str">
        <f t="shared" si="3"/>
        <v>&lt;1 second</v>
      </c>
      <c r="S16">
        <f t="shared" si="4"/>
        <v>1</v>
      </c>
      <c r="T16">
        <f t="shared" si="5"/>
        <v>0.5</v>
      </c>
    </row>
    <row r="17" spans="4:20" x14ac:dyDescent="0.2">
      <c r="D17" s="3">
        <v>56.34</v>
      </c>
      <c r="E17" s="3">
        <f>D17</f>
        <v>56.34</v>
      </c>
      <c r="G17" t="s">
        <v>49</v>
      </c>
      <c r="I17" t="s">
        <v>45</v>
      </c>
      <c r="J17" t="s">
        <v>46</v>
      </c>
      <c r="K17" t="s">
        <v>47</v>
      </c>
      <c r="M17" t="s">
        <v>27</v>
      </c>
      <c r="O17">
        <f t="shared" si="0"/>
        <v>46.000000000000909</v>
      </c>
      <c r="P17">
        <f t="shared" si="1"/>
        <v>46.000000000000909</v>
      </c>
      <c r="Q17">
        <f t="shared" si="2"/>
        <v>0</v>
      </c>
      <c r="R17" t="str">
        <f t="shared" si="3"/>
        <v>&lt;1 second</v>
      </c>
      <c r="S17">
        <f t="shared" si="4"/>
        <v>1</v>
      </c>
      <c r="T17">
        <f t="shared" si="5"/>
        <v>0.5</v>
      </c>
    </row>
    <row r="18" spans="4:20" x14ac:dyDescent="0.2">
      <c r="D18" s="3">
        <v>56.34</v>
      </c>
      <c r="E18" s="3">
        <v>56.35</v>
      </c>
      <c r="F18" t="s">
        <v>271</v>
      </c>
      <c r="G18" t="s">
        <v>44</v>
      </c>
      <c r="I18" t="s">
        <v>45</v>
      </c>
      <c r="J18" t="s">
        <v>46</v>
      </c>
      <c r="K18" t="s">
        <v>47</v>
      </c>
      <c r="M18" t="s">
        <v>27</v>
      </c>
      <c r="O18">
        <f t="shared" si="0"/>
        <v>46.000000000000909</v>
      </c>
      <c r="P18">
        <f t="shared" si="1"/>
        <v>47.000000000000455</v>
      </c>
      <c r="Q18">
        <f t="shared" si="2"/>
        <v>0.99999999999954525</v>
      </c>
      <c r="R18" t="str">
        <f t="shared" si="3"/>
        <v>&lt;2 seconds</v>
      </c>
      <c r="S18">
        <f t="shared" si="4"/>
        <v>1.9999999999995453</v>
      </c>
      <c r="T18">
        <f t="shared" si="5"/>
        <v>1.4999999999995453</v>
      </c>
    </row>
    <row r="19" spans="4:20" x14ac:dyDescent="0.2">
      <c r="D19" s="3">
        <v>56.35</v>
      </c>
      <c r="E19" s="3">
        <v>56.38</v>
      </c>
      <c r="F19" t="s">
        <v>336</v>
      </c>
      <c r="G19" t="s">
        <v>49</v>
      </c>
      <c r="I19" t="s">
        <v>45</v>
      </c>
      <c r="J19" t="s">
        <v>46</v>
      </c>
      <c r="K19" t="s">
        <v>47</v>
      </c>
      <c r="M19" t="s">
        <v>27</v>
      </c>
      <c r="O19">
        <f t="shared" si="0"/>
        <v>47.000000000000455</v>
      </c>
      <c r="P19">
        <f t="shared" si="1"/>
        <v>50.000000000000909</v>
      </c>
      <c r="Q19">
        <f t="shared" si="2"/>
        <v>3.0000000000004547</v>
      </c>
      <c r="R19" t="str">
        <f t="shared" si="3"/>
        <v>&lt;4 seconds</v>
      </c>
      <c r="S19">
        <f t="shared" si="4"/>
        <v>4.0000000000004547</v>
      </c>
      <c r="T19">
        <f t="shared" si="5"/>
        <v>3.5000000000004547</v>
      </c>
    </row>
    <row r="20" spans="4:20" x14ac:dyDescent="0.2">
      <c r="D20" s="3">
        <v>56.39</v>
      </c>
      <c r="E20" s="3">
        <f>D20</f>
        <v>56.39</v>
      </c>
      <c r="G20" t="s">
        <v>353</v>
      </c>
      <c r="I20" t="s">
        <v>28</v>
      </c>
      <c r="J20" t="s">
        <v>29</v>
      </c>
      <c r="K20" t="s">
        <v>26</v>
      </c>
      <c r="M20" t="s">
        <v>27</v>
      </c>
      <c r="O20">
        <f t="shared" si="0"/>
        <v>51.000000000000455</v>
      </c>
      <c r="P20">
        <f t="shared" si="1"/>
        <v>51.000000000000455</v>
      </c>
      <c r="Q20">
        <f t="shared" si="2"/>
        <v>0</v>
      </c>
      <c r="R20" t="str">
        <f t="shared" si="3"/>
        <v>&lt;1 second</v>
      </c>
      <c r="S20">
        <f t="shared" si="4"/>
        <v>1</v>
      </c>
      <c r="T20">
        <f t="shared" si="5"/>
        <v>0.5</v>
      </c>
    </row>
    <row r="21" spans="4:20" x14ac:dyDescent="0.2">
      <c r="D21" s="3">
        <v>56.4</v>
      </c>
      <c r="E21" s="3">
        <v>56.42</v>
      </c>
      <c r="G21" t="s">
        <v>49</v>
      </c>
      <c r="I21" t="s">
        <v>45</v>
      </c>
      <c r="J21" t="s">
        <v>46</v>
      </c>
      <c r="K21" t="s">
        <v>47</v>
      </c>
      <c r="M21" t="s">
        <v>27</v>
      </c>
      <c r="O21">
        <f t="shared" si="0"/>
        <v>52.000000000000455</v>
      </c>
      <c r="P21">
        <f t="shared" si="1"/>
        <v>54.000000000000455</v>
      </c>
      <c r="Q21">
        <f t="shared" si="2"/>
        <v>2</v>
      </c>
      <c r="R21" t="str">
        <f t="shared" si="3"/>
        <v>&lt;3 seconds</v>
      </c>
      <c r="S21">
        <f t="shared" si="4"/>
        <v>3</v>
      </c>
      <c r="T21">
        <f t="shared" si="5"/>
        <v>2.5</v>
      </c>
    </row>
    <row r="22" spans="4:20" x14ac:dyDescent="0.2">
      <c r="D22" s="3">
        <v>56.42</v>
      </c>
      <c r="E22" s="3">
        <v>56.48</v>
      </c>
      <c r="G22" t="s">
        <v>353</v>
      </c>
      <c r="I22" t="s">
        <v>28</v>
      </c>
      <c r="J22" t="s">
        <v>29</v>
      </c>
      <c r="K22" t="s">
        <v>26</v>
      </c>
      <c r="M22" t="s">
        <v>27</v>
      </c>
      <c r="O22">
        <f t="shared" si="0"/>
        <v>54.000000000000455</v>
      </c>
      <c r="P22">
        <f t="shared" si="1"/>
        <v>60</v>
      </c>
      <c r="Q22">
        <f t="shared" si="2"/>
        <v>5.9999999999995453</v>
      </c>
      <c r="R22" t="str">
        <f t="shared" si="3"/>
        <v>&lt;7 seconds</v>
      </c>
      <c r="S22">
        <f t="shared" si="4"/>
        <v>6.9999999999995453</v>
      </c>
      <c r="T22">
        <f t="shared" si="5"/>
        <v>6.4999999999995453</v>
      </c>
    </row>
    <row r="23" spans="4:20" x14ac:dyDescent="0.2">
      <c r="E23" s="3"/>
    </row>
    <row r="24" spans="4:20" x14ac:dyDescent="0.2">
      <c r="E24" s="3"/>
    </row>
    <row r="25" spans="4:20" x14ac:dyDescent="0.2">
      <c r="E25" s="3"/>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900-000003000000}">
      <formula1>"EASY,MEDIUM,HARD,VERY HARD"</formula1>
    </dataValidation>
    <dataValidation type="list" allowBlank="1" showErrorMessage="1" errorTitle="Invalid value" error="Please select a valid value." sqref="K2:L1000" xr:uid="{00000000-0002-0000-0900-000004000000}">
      <formula1>"cursor,keyboard,gesture,complex gesture,multi_step,multi_input"</formula1>
    </dataValidation>
    <dataValidation type="list" allowBlank="1" showErrorMessage="1" errorTitle="Invalid value" error="Please select a valid value." sqref="M2:M1000" xr:uid="{00000000-0002-0000-0900-000006000000}">
      <formula1>"canvas,gui,layers panel"</formula1>
    </dataValidation>
  </dataValidations>
  <hyperlinks>
    <hyperlink ref="B2" r:id="rId1" xr:uid="{00000000-0004-0000-09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900-000002000000}">
          <x14:formula1>
            <xm:f>_lists!$C$2:$C$1000</xm:f>
          </x14:formula1>
          <xm:sqref>J2:J1000</xm:sqref>
        </x14:dataValidation>
        <x14:dataValidation type="list" allowBlank="1" showErrorMessage="1" errorTitle="Invalid value" error="Please select a valid value." xr:uid="{00000000-0002-0000-0900-000001000000}">
          <x14:formula1>
            <xm:f>_lists!$B$2:$B$1000</xm:f>
          </x14:formula1>
          <xm:sqref>I2:I1000</xm:sqref>
        </x14:dataValidation>
        <x14:dataValidation type="list" allowBlank="1" showErrorMessage="1" errorTitle="Invalid value" error="Please select a valid value." xr:uid="{00000000-0002-0000-0900-000000000000}">
          <x14:formula1>
            <xm:f>_lists!$A$2:$A$1000</xm:f>
          </x14:formula1>
          <xm:sqref>G2:G1000</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81"/>
  <sheetViews>
    <sheetView zoomScale="113" workbookViewId="0">
      <selection activeCell="B2" sqref="B2"/>
    </sheetView>
  </sheetViews>
  <sheetFormatPr baseColWidth="10" defaultColWidth="8.83203125" defaultRowHeight="15" x14ac:dyDescent="0.2"/>
  <cols>
    <col min="1" max="1" width="5.5" customWidth="1"/>
    <col min="2" max="2" width="6.1640625" customWidth="1"/>
    <col min="3" max="3" width="7.33203125" customWidth="1"/>
    <col min="4" max="4" width="5.33203125" style="3" customWidth="1"/>
    <col min="6" max="6" width="63.5" bestFit="1" customWidth="1"/>
    <col min="7" max="7" width="52.1640625" bestFit="1" customWidth="1"/>
    <col min="8" max="8" width="5" customWidth="1"/>
    <col min="9" max="9" width="26.83203125" customWidth="1"/>
    <col min="10" max="10" width="24.1640625" bestFit="1" customWidth="1"/>
    <col min="11" max="11" width="15" customWidth="1"/>
    <col min="12" max="12" width="14.33203125" customWidth="1"/>
    <col min="13" max="13" width="10"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4" t="s">
        <v>0</v>
      </c>
      <c r="B1" s="4" t="s">
        <v>1</v>
      </c>
      <c r="C1" s="4" t="s">
        <v>2</v>
      </c>
      <c r="D1" s="5"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
      <c r="A2" t="s">
        <v>337</v>
      </c>
      <c r="B2" s="10" t="s">
        <v>338</v>
      </c>
      <c r="C2" t="s">
        <v>339</v>
      </c>
      <c r="D2" s="3">
        <v>57</v>
      </c>
      <c r="E2" s="3">
        <v>57.02</v>
      </c>
      <c r="G2" t="s">
        <v>158</v>
      </c>
      <c r="I2" t="s">
        <v>45</v>
      </c>
      <c r="J2" t="s">
        <v>159</v>
      </c>
      <c r="K2" t="s">
        <v>91</v>
      </c>
      <c r="M2" t="s">
        <v>27</v>
      </c>
      <c r="N2" t="s">
        <v>28</v>
      </c>
      <c r="O2">
        <f t="shared" ref="O2:O25" si="0">(INT(D2)*60+(D2-INT(D2))*100)-(INT($D$2)*60+($D$2-INT($D$2))*100)</f>
        <v>0</v>
      </c>
      <c r="P2">
        <f t="shared" ref="P2:P25" si="1">(INT(E2)*60+(E2-INT(E2))*100)-(INT($D$2)*60+($D$2-INT($D$2))*100)</f>
        <v>2.0000000000004547</v>
      </c>
      <c r="Q2">
        <f t="shared" ref="Q2:Q25" si="2">P2-O2</f>
        <v>2.0000000000004547</v>
      </c>
      <c r="R2" t="str">
        <f t="shared" ref="R2:R25" si="3">IF(Q2=0,"&lt;1 second","&lt;"&amp;(ROUND(Q2,2)+1)&amp;" seconds")</f>
        <v>&lt;3 seconds</v>
      </c>
      <c r="S2">
        <f t="shared" ref="S2:S25" si="4">Q2+1</f>
        <v>3.0000000000004547</v>
      </c>
      <c r="T2">
        <f t="shared" ref="T2:T25" si="5">Q2+0.5</f>
        <v>2.5000000000004547</v>
      </c>
    </row>
    <row r="3" spans="1:21" x14ac:dyDescent="0.2">
      <c r="D3" s="3">
        <v>57.02</v>
      </c>
      <c r="E3" s="3">
        <v>57.03</v>
      </c>
      <c r="G3" t="s">
        <v>295</v>
      </c>
      <c r="I3" t="s">
        <v>45</v>
      </c>
      <c r="J3" t="s">
        <v>162</v>
      </c>
      <c r="K3" t="s">
        <v>91</v>
      </c>
      <c r="M3" t="s">
        <v>27</v>
      </c>
      <c r="N3" t="s">
        <v>28</v>
      </c>
      <c r="O3">
        <f t="shared" si="0"/>
        <v>2.0000000000004547</v>
      </c>
      <c r="P3">
        <f t="shared" si="1"/>
        <v>3</v>
      </c>
      <c r="Q3">
        <f t="shared" si="2"/>
        <v>0.99999999999954525</v>
      </c>
      <c r="R3" t="str">
        <f t="shared" si="3"/>
        <v>&lt;2 seconds</v>
      </c>
      <c r="S3">
        <f t="shared" si="4"/>
        <v>1.9999999999995453</v>
      </c>
      <c r="T3">
        <f t="shared" si="5"/>
        <v>1.4999999999995453</v>
      </c>
    </row>
    <row r="4" spans="1:21" x14ac:dyDescent="0.2">
      <c r="D4" s="3">
        <v>57.04</v>
      </c>
      <c r="E4" s="3">
        <v>57.05</v>
      </c>
      <c r="G4" t="s">
        <v>63</v>
      </c>
      <c r="I4" t="s">
        <v>28</v>
      </c>
      <c r="J4" t="s">
        <v>64</v>
      </c>
      <c r="K4" t="s">
        <v>26</v>
      </c>
      <c r="M4" t="s">
        <v>65</v>
      </c>
      <c r="N4" t="s">
        <v>28</v>
      </c>
      <c r="O4">
        <f t="shared" si="0"/>
        <v>4</v>
      </c>
      <c r="P4">
        <f t="shared" si="1"/>
        <v>4.9999999999995453</v>
      </c>
      <c r="Q4">
        <f t="shared" si="2"/>
        <v>0.99999999999954525</v>
      </c>
      <c r="R4" t="str">
        <f t="shared" si="3"/>
        <v>&lt;2 seconds</v>
      </c>
      <c r="S4">
        <f t="shared" si="4"/>
        <v>1.9999999999995453</v>
      </c>
      <c r="T4">
        <f t="shared" si="5"/>
        <v>1.4999999999995453</v>
      </c>
    </row>
    <row r="5" spans="1:21" x14ac:dyDescent="0.2">
      <c r="D5" s="3">
        <v>57.06</v>
      </c>
      <c r="E5" s="3">
        <f>D5</f>
        <v>57.06</v>
      </c>
      <c r="F5" t="s">
        <v>340</v>
      </c>
      <c r="G5" t="s">
        <v>31</v>
      </c>
      <c r="I5" t="s">
        <v>32</v>
      </c>
      <c r="J5" t="s">
        <v>32</v>
      </c>
      <c r="K5" t="s">
        <v>26</v>
      </c>
      <c r="M5" t="s">
        <v>34</v>
      </c>
      <c r="O5">
        <f t="shared" si="0"/>
        <v>6</v>
      </c>
      <c r="P5">
        <f t="shared" si="1"/>
        <v>6</v>
      </c>
      <c r="Q5">
        <f t="shared" si="2"/>
        <v>0</v>
      </c>
      <c r="R5" t="str">
        <f t="shared" si="3"/>
        <v>&lt;1 second</v>
      </c>
      <c r="S5">
        <f t="shared" si="4"/>
        <v>1</v>
      </c>
      <c r="T5">
        <f t="shared" si="5"/>
        <v>0.5</v>
      </c>
    </row>
    <row r="6" spans="1:21" x14ac:dyDescent="0.2">
      <c r="D6" s="3">
        <v>57.07</v>
      </c>
      <c r="E6" s="3">
        <v>57.1</v>
      </c>
      <c r="F6" t="s">
        <v>341</v>
      </c>
      <c r="G6" t="s">
        <v>31</v>
      </c>
      <c r="I6" t="s">
        <v>32</v>
      </c>
      <c r="J6" t="s">
        <v>32</v>
      </c>
      <c r="K6" t="s">
        <v>47</v>
      </c>
      <c r="M6" t="s">
        <v>34</v>
      </c>
      <c r="O6">
        <f t="shared" si="0"/>
        <v>7</v>
      </c>
      <c r="P6">
        <f t="shared" si="1"/>
        <v>10</v>
      </c>
      <c r="Q6">
        <f t="shared" si="2"/>
        <v>3</v>
      </c>
      <c r="R6" t="str">
        <f t="shared" si="3"/>
        <v>&lt;4 seconds</v>
      </c>
      <c r="S6">
        <f t="shared" si="4"/>
        <v>4</v>
      </c>
      <c r="T6">
        <f t="shared" si="5"/>
        <v>3.5</v>
      </c>
    </row>
    <row r="7" spans="1:21" x14ac:dyDescent="0.2">
      <c r="D7" s="3">
        <v>57.1</v>
      </c>
      <c r="E7" s="3">
        <v>57.11</v>
      </c>
      <c r="F7" t="s">
        <v>342</v>
      </c>
      <c r="G7" t="s">
        <v>142</v>
      </c>
      <c r="I7" t="s">
        <v>76</v>
      </c>
      <c r="J7" t="s">
        <v>143</v>
      </c>
      <c r="K7" t="s">
        <v>91</v>
      </c>
      <c r="M7" t="s">
        <v>27</v>
      </c>
      <c r="O7">
        <f t="shared" si="0"/>
        <v>10</v>
      </c>
      <c r="P7">
        <f t="shared" si="1"/>
        <v>11</v>
      </c>
      <c r="Q7">
        <f t="shared" si="2"/>
        <v>1</v>
      </c>
      <c r="R7" t="str">
        <f t="shared" si="3"/>
        <v>&lt;2 seconds</v>
      </c>
      <c r="S7">
        <f t="shared" si="4"/>
        <v>2</v>
      </c>
      <c r="T7">
        <f t="shared" si="5"/>
        <v>1.5</v>
      </c>
    </row>
    <row r="8" spans="1:21" x14ac:dyDescent="0.2">
      <c r="D8" s="3">
        <v>57.11</v>
      </c>
      <c r="E8" s="3">
        <v>57.12</v>
      </c>
      <c r="G8" t="s">
        <v>353</v>
      </c>
      <c r="I8" t="s">
        <v>28</v>
      </c>
      <c r="J8" t="s">
        <v>29</v>
      </c>
      <c r="K8" t="s">
        <v>26</v>
      </c>
      <c r="M8" t="s">
        <v>27</v>
      </c>
      <c r="O8">
        <f t="shared" si="0"/>
        <v>11</v>
      </c>
      <c r="P8">
        <f t="shared" si="1"/>
        <v>11.999999999999545</v>
      </c>
      <c r="Q8">
        <f t="shared" si="2"/>
        <v>0.99999999999954525</v>
      </c>
      <c r="R8" t="str">
        <f t="shared" si="3"/>
        <v>&lt;2 seconds</v>
      </c>
      <c r="S8">
        <f t="shared" si="4"/>
        <v>1.9999999999995453</v>
      </c>
      <c r="T8">
        <f t="shared" si="5"/>
        <v>1.4999999999995453</v>
      </c>
    </row>
    <row r="9" spans="1:21" x14ac:dyDescent="0.2">
      <c r="D9" s="3">
        <v>57.12</v>
      </c>
      <c r="E9" s="3">
        <f>D9</f>
        <v>57.12</v>
      </c>
      <c r="G9" t="s">
        <v>50</v>
      </c>
      <c r="I9" t="s">
        <v>24</v>
      </c>
      <c r="J9" t="s">
        <v>51</v>
      </c>
      <c r="K9" t="s">
        <v>26</v>
      </c>
      <c r="M9" t="s">
        <v>27</v>
      </c>
      <c r="O9">
        <f t="shared" si="0"/>
        <v>11.999999999999545</v>
      </c>
      <c r="P9">
        <f t="shared" si="1"/>
        <v>11.999999999999545</v>
      </c>
      <c r="Q9">
        <f t="shared" si="2"/>
        <v>0</v>
      </c>
      <c r="R9" t="str">
        <f t="shared" si="3"/>
        <v>&lt;1 second</v>
      </c>
      <c r="S9">
        <f t="shared" si="4"/>
        <v>1</v>
      </c>
      <c r="T9">
        <f t="shared" si="5"/>
        <v>0.5</v>
      </c>
    </row>
    <row r="10" spans="1:21" x14ac:dyDescent="0.2">
      <c r="D10" s="3">
        <v>57.13</v>
      </c>
      <c r="E10" s="3">
        <f>D10</f>
        <v>57.13</v>
      </c>
      <c r="G10" t="s">
        <v>225</v>
      </c>
      <c r="I10" t="s">
        <v>226</v>
      </c>
      <c r="J10" t="s">
        <v>226</v>
      </c>
      <c r="K10" t="s">
        <v>42</v>
      </c>
      <c r="M10" t="s">
        <v>27</v>
      </c>
      <c r="O10">
        <f t="shared" si="0"/>
        <v>13.000000000000455</v>
      </c>
      <c r="P10">
        <f t="shared" si="1"/>
        <v>13.000000000000455</v>
      </c>
      <c r="Q10">
        <f t="shared" si="2"/>
        <v>0</v>
      </c>
      <c r="R10" t="str">
        <f t="shared" si="3"/>
        <v>&lt;1 second</v>
      </c>
      <c r="S10">
        <f t="shared" si="4"/>
        <v>1</v>
      </c>
      <c r="T10">
        <f t="shared" si="5"/>
        <v>0.5</v>
      </c>
    </row>
    <row r="11" spans="1:21" x14ac:dyDescent="0.2">
      <c r="D11" s="3">
        <v>57.15</v>
      </c>
      <c r="E11" s="3">
        <f>D11</f>
        <v>57.15</v>
      </c>
      <c r="G11" t="s">
        <v>116</v>
      </c>
      <c r="I11" t="s">
        <v>24</v>
      </c>
      <c r="J11" t="s">
        <v>117</v>
      </c>
      <c r="K11" t="s">
        <v>26</v>
      </c>
      <c r="M11" t="s">
        <v>27</v>
      </c>
      <c r="O11">
        <f t="shared" si="0"/>
        <v>15</v>
      </c>
      <c r="P11">
        <f t="shared" si="1"/>
        <v>15</v>
      </c>
      <c r="Q11">
        <f t="shared" si="2"/>
        <v>0</v>
      </c>
      <c r="R11" t="str">
        <f t="shared" si="3"/>
        <v>&lt;1 second</v>
      </c>
      <c r="S11">
        <f t="shared" si="4"/>
        <v>1</v>
      </c>
      <c r="T11">
        <f t="shared" si="5"/>
        <v>0.5</v>
      </c>
    </row>
    <row r="12" spans="1:21" x14ac:dyDescent="0.2">
      <c r="D12" s="3">
        <v>57.16</v>
      </c>
      <c r="E12" s="3">
        <v>57.17</v>
      </c>
      <c r="F12" t="s">
        <v>343</v>
      </c>
      <c r="G12" t="s">
        <v>81</v>
      </c>
      <c r="I12" t="s">
        <v>82</v>
      </c>
      <c r="J12" t="s">
        <v>83</v>
      </c>
      <c r="K12" t="s">
        <v>26</v>
      </c>
      <c r="M12" t="s">
        <v>27</v>
      </c>
      <c r="O12">
        <f t="shared" si="0"/>
        <v>15.999999999999545</v>
      </c>
      <c r="P12">
        <f t="shared" si="1"/>
        <v>17</v>
      </c>
      <c r="Q12">
        <f t="shared" si="2"/>
        <v>1.0000000000004547</v>
      </c>
      <c r="R12" t="str">
        <f t="shared" si="3"/>
        <v>&lt;2 seconds</v>
      </c>
      <c r="S12">
        <f t="shared" si="4"/>
        <v>2.0000000000004547</v>
      </c>
      <c r="T12">
        <f t="shared" si="5"/>
        <v>1.5000000000004547</v>
      </c>
    </row>
    <row r="13" spans="1:21" x14ac:dyDescent="0.2">
      <c r="D13" s="3">
        <v>57.17</v>
      </c>
      <c r="E13" s="3">
        <v>57.2</v>
      </c>
      <c r="F13" t="s">
        <v>344</v>
      </c>
      <c r="G13" t="s">
        <v>31</v>
      </c>
      <c r="I13" s="19" t="s">
        <v>114</v>
      </c>
      <c r="J13" s="19" t="s">
        <v>53</v>
      </c>
      <c r="K13" t="s">
        <v>26</v>
      </c>
      <c r="M13" t="s">
        <v>34</v>
      </c>
      <c r="O13">
        <f t="shared" si="0"/>
        <v>17</v>
      </c>
      <c r="P13">
        <f t="shared" si="1"/>
        <v>20.000000000000455</v>
      </c>
      <c r="Q13">
        <f t="shared" si="2"/>
        <v>3.0000000000004547</v>
      </c>
      <c r="R13" t="str">
        <f t="shared" si="3"/>
        <v>&lt;4 seconds</v>
      </c>
      <c r="S13">
        <f t="shared" si="4"/>
        <v>4.0000000000004547</v>
      </c>
      <c r="T13">
        <f t="shared" si="5"/>
        <v>3.5000000000004547</v>
      </c>
    </row>
    <row r="14" spans="1:21" x14ac:dyDescent="0.2">
      <c r="D14" s="3">
        <v>57.21</v>
      </c>
      <c r="E14" s="3">
        <v>57.22</v>
      </c>
      <c r="G14" t="s">
        <v>295</v>
      </c>
      <c r="I14" t="s">
        <v>45</v>
      </c>
      <c r="J14" t="s">
        <v>162</v>
      </c>
      <c r="K14" t="s">
        <v>91</v>
      </c>
      <c r="M14" t="s">
        <v>27</v>
      </c>
      <c r="O14">
        <f t="shared" si="0"/>
        <v>21</v>
      </c>
      <c r="P14">
        <f t="shared" si="1"/>
        <v>22</v>
      </c>
      <c r="Q14">
        <f t="shared" si="2"/>
        <v>1</v>
      </c>
      <c r="R14" t="str">
        <f t="shared" si="3"/>
        <v>&lt;2 seconds</v>
      </c>
      <c r="S14">
        <f t="shared" si="4"/>
        <v>2</v>
      </c>
      <c r="T14">
        <f t="shared" si="5"/>
        <v>1.5</v>
      </c>
    </row>
    <row r="15" spans="1:21" x14ac:dyDescent="0.2">
      <c r="D15" s="3">
        <v>57.23</v>
      </c>
      <c r="E15" s="3">
        <f>D15</f>
        <v>57.23</v>
      </c>
      <c r="F15" t="s">
        <v>43</v>
      </c>
      <c r="G15" t="s">
        <v>44</v>
      </c>
      <c r="I15" t="s">
        <v>45</v>
      </c>
      <c r="J15" t="s">
        <v>46</v>
      </c>
      <c r="K15" t="s">
        <v>47</v>
      </c>
      <c r="M15" t="s">
        <v>27</v>
      </c>
      <c r="O15">
        <f t="shared" si="0"/>
        <v>22.999999999999545</v>
      </c>
      <c r="P15">
        <f t="shared" si="1"/>
        <v>22.999999999999545</v>
      </c>
      <c r="Q15">
        <f t="shared" si="2"/>
        <v>0</v>
      </c>
      <c r="R15" t="str">
        <f t="shared" si="3"/>
        <v>&lt;1 second</v>
      </c>
      <c r="S15">
        <f t="shared" si="4"/>
        <v>1</v>
      </c>
      <c r="T15">
        <f t="shared" si="5"/>
        <v>0.5</v>
      </c>
    </row>
    <row r="16" spans="1:21" x14ac:dyDescent="0.2">
      <c r="D16" s="3">
        <v>57.23</v>
      </c>
      <c r="E16" s="3">
        <v>57.24</v>
      </c>
      <c r="G16" t="s">
        <v>116</v>
      </c>
      <c r="I16" t="s">
        <v>24</v>
      </c>
      <c r="J16" t="s">
        <v>117</v>
      </c>
      <c r="K16" t="s">
        <v>26</v>
      </c>
      <c r="M16" t="s">
        <v>27</v>
      </c>
      <c r="O16">
        <f t="shared" si="0"/>
        <v>22.999999999999545</v>
      </c>
      <c r="P16">
        <f t="shared" si="1"/>
        <v>24</v>
      </c>
      <c r="Q16">
        <f t="shared" si="2"/>
        <v>1.0000000000004547</v>
      </c>
      <c r="R16" t="str">
        <f t="shared" si="3"/>
        <v>&lt;2 seconds</v>
      </c>
      <c r="S16">
        <f t="shared" si="4"/>
        <v>2.0000000000004547</v>
      </c>
      <c r="T16">
        <f t="shared" si="5"/>
        <v>1.5000000000004547</v>
      </c>
    </row>
    <row r="17" spans="4:20" x14ac:dyDescent="0.2">
      <c r="D17" s="3">
        <v>57.25</v>
      </c>
      <c r="E17" s="3">
        <v>57.26</v>
      </c>
      <c r="F17" t="s">
        <v>345</v>
      </c>
      <c r="G17" t="s">
        <v>44</v>
      </c>
      <c r="I17" t="s">
        <v>45</v>
      </c>
      <c r="J17" t="s">
        <v>46</v>
      </c>
      <c r="K17" t="s">
        <v>47</v>
      </c>
      <c r="M17" t="s">
        <v>27</v>
      </c>
      <c r="O17">
        <f t="shared" si="0"/>
        <v>25</v>
      </c>
      <c r="P17">
        <f t="shared" si="1"/>
        <v>26</v>
      </c>
      <c r="Q17">
        <f t="shared" si="2"/>
        <v>1</v>
      </c>
      <c r="R17" t="str">
        <f t="shared" si="3"/>
        <v>&lt;2 seconds</v>
      </c>
      <c r="S17">
        <f t="shared" si="4"/>
        <v>2</v>
      </c>
      <c r="T17">
        <f t="shared" si="5"/>
        <v>1.5</v>
      </c>
    </row>
    <row r="18" spans="4:20" x14ac:dyDescent="0.2">
      <c r="D18" s="3">
        <v>57.27</v>
      </c>
      <c r="E18" s="3">
        <v>57.47</v>
      </c>
      <c r="F18" t="s">
        <v>346</v>
      </c>
      <c r="G18" t="s">
        <v>31</v>
      </c>
      <c r="I18" t="s">
        <v>32</v>
      </c>
      <c r="J18" t="s">
        <v>32</v>
      </c>
      <c r="K18" s="24" t="s">
        <v>26</v>
      </c>
      <c r="M18" t="s">
        <v>34</v>
      </c>
      <c r="O18">
        <f t="shared" si="0"/>
        <v>27.000000000000455</v>
      </c>
      <c r="P18">
        <f t="shared" si="1"/>
        <v>47</v>
      </c>
      <c r="Q18">
        <f t="shared" si="2"/>
        <v>19.999999999999545</v>
      </c>
      <c r="R18" t="str">
        <f t="shared" si="3"/>
        <v>&lt;21 seconds</v>
      </c>
      <c r="S18">
        <f t="shared" si="4"/>
        <v>20.999999999999545</v>
      </c>
      <c r="T18">
        <f t="shared" si="5"/>
        <v>20.499999999999545</v>
      </c>
    </row>
    <row r="19" spans="4:20" x14ac:dyDescent="0.2">
      <c r="D19" s="3">
        <v>57.51</v>
      </c>
      <c r="E19" s="3">
        <f>D19</f>
        <v>57.51</v>
      </c>
      <c r="G19" t="s">
        <v>353</v>
      </c>
      <c r="I19" t="s">
        <v>28</v>
      </c>
      <c r="J19" t="s">
        <v>29</v>
      </c>
      <c r="K19" t="s">
        <v>26</v>
      </c>
      <c r="M19" t="s">
        <v>27</v>
      </c>
      <c r="O19">
        <f t="shared" si="0"/>
        <v>51</v>
      </c>
      <c r="P19">
        <f t="shared" si="1"/>
        <v>51</v>
      </c>
      <c r="Q19">
        <f t="shared" si="2"/>
        <v>0</v>
      </c>
      <c r="R19" t="str">
        <f t="shared" si="3"/>
        <v>&lt;1 second</v>
      </c>
      <c r="S19">
        <f t="shared" si="4"/>
        <v>1</v>
      </c>
      <c r="T19">
        <f t="shared" si="5"/>
        <v>0.5</v>
      </c>
    </row>
    <row r="20" spans="4:20" x14ac:dyDescent="0.2">
      <c r="D20" s="3">
        <v>57.51</v>
      </c>
      <c r="E20" s="3">
        <f>D20</f>
        <v>57.51</v>
      </c>
      <c r="G20" t="s">
        <v>50</v>
      </c>
      <c r="I20" t="s">
        <v>24</v>
      </c>
      <c r="J20" t="s">
        <v>51</v>
      </c>
      <c r="K20" t="s">
        <v>26</v>
      </c>
      <c r="M20" t="s">
        <v>27</v>
      </c>
      <c r="O20">
        <f t="shared" si="0"/>
        <v>51</v>
      </c>
      <c r="P20">
        <f t="shared" si="1"/>
        <v>51</v>
      </c>
      <c r="Q20">
        <f t="shared" si="2"/>
        <v>0</v>
      </c>
      <c r="R20" t="str">
        <f t="shared" si="3"/>
        <v>&lt;1 second</v>
      </c>
      <c r="S20">
        <f t="shared" si="4"/>
        <v>1</v>
      </c>
      <c r="T20">
        <f t="shared" si="5"/>
        <v>0.5</v>
      </c>
    </row>
    <row r="21" spans="4:20" x14ac:dyDescent="0.2">
      <c r="D21" s="3">
        <v>57.51</v>
      </c>
      <c r="E21" s="3">
        <f>D21</f>
        <v>57.51</v>
      </c>
      <c r="G21" t="s">
        <v>347</v>
      </c>
      <c r="I21" t="s">
        <v>73</v>
      </c>
      <c r="J21" t="s">
        <v>73</v>
      </c>
      <c r="K21" t="s">
        <v>42</v>
      </c>
      <c r="M21" t="s">
        <v>27</v>
      </c>
      <c r="O21">
        <f t="shared" si="0"/>
        <v>51</v>
      </c>
      <c r="P21">
        <f t="shared" si="1"/>
        <v>51</v>
      </c>
      <c r="Q21">
        <f t="shared" si="2"/>
        <v>0</v>
      </c>
      <c r="R21" t="str">
        <f t="shared" si="3"/>
        <v>&lt;1 second</v>
      </c>
      <c r="S21">
        <f t="shared" si="4"/>
        <v>1</v>
      </c>
      <c r="T21">
        <f t="shared" si="5"/>
        <v>0.5</v>
      </c>
    </row>
    <row r="22" spans="4:20" x14ac:dyDescent="0.2">
      <c r="D22" s="3">
        <v>57.53</v>
      </c>
      <c r="E22" s="3">
        <v>57.56</v>
      </c>
      <c r="F22" t="s">
        <v>348</v>
      </c>
      <c r="G22" t="s">
        <v>31</v>
      </c>
      <c r="I22" t="s">
        <v>32</v>
      </c>
      <c r="J22" t="s">
        <v>32</v>
      </c>
      <c r="K22" s="24" t="s">
        <v>26</v>
      </c>
      <c r="M22" t="s">
        <v>34</v>
      </c>
      <c r="O22">
        <f t="shared" si="0"/>
        <v>53</v>
      </c>
      <c r="P22">
        <f t="shared" si="1"/>
        <v>56</v>
      </c>
      <c r="Q22">
        <f t="shared" si="2"/>
        <v>3</v>
      </c>
      <c r="R22" t="str">
        <f t="shared" si="3"/>
        <v>&lt;4 seconds</v>
      </c>
      <c r="S22">
        <f t="shared" si="4"/>
        <v>4</v>
      </c>
      <c r="T22">
        <f t="shared" si="5"/>
        <v>3.5</v>
      </c>
    </row>
    <row r="23" spans="4:20" x14ac:dyDescent="0.2">
      <c r="D23" s="3">
        <v>57.57</v>
      </c>
      <c r="E23" s="3">
        <f>D23</f>
        <v>57.57</v>
      </c>
      <c r="G23" t="s">
        <v>353</v>
      </c>
      <c r="I23" t="s">
        <v>28</v>
      </c>
      <c r="J23" t="s">
        <v>29</v>
      </c>
      <c r="K23" t="s">
        <v>26</v>
      </c>
      <c r="M23" t="s">
        <v>27</v>
      </c>
      <c r="O23">
        <f t="shared" si="0"/>
        <v>57</v>
      </c>
      <c r="P23">
        <f t="shared" si="1"/>
        <v>57</v>
      </c>
      <c r="Q23">
        <f t="shared" si="2"/>
        <v>0</v>
      </c>
      <c r="R23" t="str">
        <f t="shared" si="3"/>
        <v>&lt;1 second</v>
      </c>
      <c r="S23">
        <f t="shared" si="4"/>
        <v>1</v>
      </c>
      <c r="T23">
        <f t="shared" si="5"/>
        <v>0.5</v>
      </c>
    </row>
    <row r="24" spans="4:20" x14ac:dyDescent="0.2">
      <c r="D24" s="3">
        <v>58.01</v>
      </c>
      <c r="E24" s="3">
        <f>D24</f>
        <v>58.01</v>
      </c>
      <c r="G24" t="s">
        <v>23</v>
      </c>
      <c r="I24" t="s">
        <v>24</v>
      </c>
      <c r="J24" t="s">
        <v>25</v>
      </c>
      <c r="K24" t="s">
        <v>26</v>
      </c>
      <c r="M24" t="s">
        <v>27</v>
      </c>
      <c r="O24">
        <f t="shared" si="0"/>
        <v>61</v>
      </c>
      <c r="P24">
        <f t="shared" si="1"/>
        <v>61</v>
      </c>
      <c r="Q24">
        <f t="shared" si="2"/>
        <v>0</v>
      </c>
      <c r="R24" t="str">
        <f t="shared" si="3"/>
        <v>&lt;1 second</v>
      </c>
      <c r="S24">
        <f t="shared" si="4"/>
        <v>1</v>
      </c>
      <c r="T24">
        <f t="shared" si="5"/>
        <v>0.5</v>
      </c>
    </row>
    <row r="25" spans="4:20" x14ac:dyDescent="0.2">
      <c r="D25" s="3">
        <v>58.02</v>
      </c>
      <c r="E25" s="3">
        <f>D25</f>
        <v>58.02</v>
      </c>
      <c r="G25" t="s">
        <v>329</v>
      </c>
      <c r="I25" t="s">
        <v>73</v>
      </c>
      <c r="J25" t="s">
        <v>73</v>
      </c>
      <c r="K25" t="s">
        <v>42</v>
      </c>
      <c r="M25" t="s">
        <v>27</v>
      </c>
      <c r="O25">
        <f t="shared" si="0"/>
        <v>62.000000000000455</v>
      </c>
      <c r="P25">
        <f t="shared" si="1"/>
        <v>62.000000000000455</v>
      </c>
      <c r="Q25">
        <f t="shared" si="2"/>
        <v>0</v>
      </c>
      <c r="R25" t="str">
        <f t="shared" si="3"/>
        <v>&lt;1 second</v>
      </c>
      <c r="S25">
        <f t="shared" si="4"/>
        <v>1</v>
      </c>
      <c r="T25">
        <f t="shared" si="5"/>
        <v>0.5</v>
      </c>
    </row>
    <row r="26" spans="4:20" x14ac:dyDescent="0.2">
      <c r="E26" s="3"/>
    </row>
    <row r="27" spans="4:20" x14ac:dyDescent="0.2">
      <c r="E27" s="3"/>
    </row>
    <row r="28" spans="4:20" x14ac:dyDescent="0.2">
      <c r="E28" s="3"/>
    </row>
    <row r="29" spans="4:20" x14ac:dyDescent="0.2">
      <c r="E29" s="3"/>
    </row>
    <row r="30" spans="4:20" x14ac:dyDescent="0.2">
      <c r="E30" s="3"/>
    </row>
    <row r="31" spans="4:20" x14ac:dyDescent="0.2">
      <c r="E31" s="3"/>
    </row>
    <row r="32" spans="4:20" x14ac:dyDescent="0.2">
      <c r="E32" s="3"/>
    </row>
    <row r="33" spans="5:5" x14ac:dyDescent="0.2">
      <c r="E33" s="3"/>
    </row>
    <row r="34" spans="5:5" x14ac:dyDescent="0.2">
      <c r="E34" s="3"/>
    </row>
    <row r="35" spans="5:5" x14ac:dyDescent="0.2">
      <c r="E35" s="3"/>
    </row>
    <row r="36" spans="5:5" x14ac:dyDescent="0.2">
      <c r="E36" s="3"/>
    </row>
    <row r="37" spans="5:5" x14ac:dyDescent="0.2">
      <c r="E37" s="3"/>
    </row>
    <row r="38" spans="5:5" x14ac:dyDescent="0.2">
      <c r="E38" s="3"/>
    </row>
    <row r="39" spans="5:5" x14ac:dyDescent="0.2">
      <c r="E39" s="3"/>
    </row>
    <row r="40" spans="5:5" x14ac:dyDescent="0.2">
      <c r="E40" s="3"/>
    </row>
    <row r="41" spans="5:5" x14ac:dyDescent="0.2">
      <c r="E41" s="3"/>
    </row>
    <row r="42" spans="5:5" x14ac:dyDescent="0.2">
      <c r="E42" s="3"/>
    </row>
    <row r="43" spans="5:5" x14ac:dyDescent="0.2">
      <c r="E43" s="3"/>
    </row>
    <row r="44" spans="5:5" x14ac:dyDescent="0.2">
      <c r="E44" s="3"/>
    </row>
    <row r="45" spans="5:5" x14ac:dyDescent="0.2">
      <c r="E45" s="3"/>
    </row>
    <row r="46" spans="5:5" x14ac:dyDescent="0.2">
      <c r="E46" s="3"/>
    </row>
    <row r="47" spans="5:5" x14ac:dyDescent="0.2">
      <c r="E47" s="3"/>
    </row>
    <row r="48" spans="5:5" x14ac:dyDescent="0.2">
      <c r="E48" s="3"/>
    </row>
    <row r="49" spans="5:5" x14ac:dyDescent="0.2">
      <c r="E49" s="3"/>
    </row>
    <row r="50" spans="5:5" x14ac:dyDescent="0.2">
      <c r="E50" s="3"/>
    </row>
    <row r="51" spans="5:5" x14ac:dyDescent="0.2">
      <c r="E51" s="3"/>
    </row>
    <row r="52" spans="5:5" x14ac:dyDescent="0.2">
      <c r="E52" s="3"/>
    </row>
    <row r="53" spans="5:5" x14ac:dyDescent="0.2">
      <c r="E53" s="3"/>
    </row>
    <row r="54" spans="5:5" x14ac:dyDescent="0.2">
      <c r="E54" s="3"/>
    </row>
    <row r="55" spans="5:5" x14ac:dyDescent="0.2">
      <c r="E55" s="3"/>
    </row>
    <row r="56" spans="5:5" x14ac:dyDescent="0.2">
      <c r="E56" s="3"/>
    </row>
    <row r="57" spans="5:5" x14ac:dyDescent="0.2">
      <c r="E57" s="3"/>
    </row>
    <row r="58" spans="5:5" x14ac:dyDescent="0.2">
      <c r="E58" s="3"/>
    </row>
    <row r="59" spans="5:5" x14ac:dyDescent="0.2">
      <c r="E59" s="3"/>
    </row>
    <row r="60" spans="5:5" x14ac:dyDescent="0.2">
      <c r="E60" s="3"/>
    </row>
    <row r="61" spans="5:5" x14ac:dyDescent="0.2">
      <c r="E61" s="3"/>
    </row>
    <row r="62" spans="5:5" x14ac:dyDescent="0.2">
      <c r="E62" s="3"/>
    </row>
    <row r="63" spans="5:5" x14ac:dyDescent="0.2">
      <c r="E63" s="3"/>
    </row>
    <row r="64" spans="5:5" x14ac:dyDescent="0.2">
      <c r="E64" s="3"/>
    </row>
    <row r="65" spans="5:5" x14ac:dyDescent="0.2">
      <c r="E65" s="3"/>
    </row>
    <row r="66" spans="5:5" x14ac:dyDescent="0.2">
      <c r="E66" s="3"/>
    </row>
    <row r="67" spans="5:5" x14ac:dyDescent="0.2">
      <c r="E67" s="3"/>
    </row>
    <row r="68" spans="5:5" x14ac:dyDescent="0.2">
      <c r="E68" s="3"/>
    </row>
    <row r="69" spans="5:5" x14ac:dyDescent="0.2">
      <c r="E69" s="3"/>
    </row>
    <row r="70" spans="5:5" x14ac:dyDescent="0.2">
      <c r="E70" s="3"/>
    </row>
    <row r="71" spans="5:5" x14ac:dyDescent="0.2">
      <c r="E71" s="3"/>
    </row>
    <row r="72" spans="5:5" x14ac:dyDescent="0.2">
      <c r="E72" s="3"/>
    </row>
    <row r="73" spans="5:5" x14ac:dyDescent="0.2">
      <c r="E73" s="3"/>
    </row>
    <row r="74" spans="5:5" x14ac:dyDescent="0.2">
      <c r="E74" s="3"/>
    </row>
    <row r="75" spans="5:5" x14ac:dyDescent="0.2">
      <c r="E75" s="3"/>
    </row>
    <row r="76" spans="5:5" x14ac:dyDescent="0.2">
      <c r="E76" s="3"/>
    </row>
    <row r="77" spans="5:5" x14ac:dyDescent="0.2">
      <c r="E77" s="3"/>
    </row>
    <row r="78" spans="5:5" x14ac:dyDescent="0.2">
      <c r="E78" s="3"/>
    </row>
    <row r="79" spans="5:5" x14ac:dyDescent="0.2">
      <c r="E79" s="3"/>
    </row>
    <row r="80" spans="5:5" x14ac:dyDescent="0.2">
      <c r="E80" s="3"/>
    </row>
    <row r="81" spans="5:5" x14ac:dyDescent="0.2">
      <c r="E81" s="3"/>
    </row>
  </sheetData>
  <dataValidations count="3">
    <dataValidation type="list" allowBlank="1" showErrorMessage="1" errorTitle="Invalid value" error="Please select a valid value." sqref="H2:H1000" xr:uid="{00000000-0002-0000-0A00-000003000000}">
      <formula1>"EASY,MEDIUM,HARD,VERY HARD"</formula1>
    </dataValidation>
    <dataValidation type="list" allowBlank="1" showErrorMessage="1" errorTitle="Invalid value" error="Please select a valid value." sqref="K2:L1000" xr:uid="{00000000-0002-0000-0A00-000004000000}">
      <formula1>"cursor,keyboard,gesture,complex gesture,multi_step,multi_input"</formula1>
    </dataValidation>
    <dataValidation type="list" allowBlank="1" showErrorMessage="1" errorTitle="Invalid value" error="Please select a valid value." sqref="M2:M1000" xr:uid="{00000000-0002-0000-0A00-000006000000}">
      <formula1>"canvas,gui,layers panel"</formula1>
    </dataValidation>
  </dataValidations>
  <hyperlinks>
    <hyperlink ref="B2" r:id="rId1" xr:uid="{00000000-0004-0000-0A00-000000000000}"/>
  </hyperlinks>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showErrorMessage="1" errorTitle="Invalid value" error="Please select a valid value." xr:uid="{00000000-0002-0000-0A00-000002000000}">
          <x14:formula1>
            <xm:f>_lists!$C$2:$C$1000</xm:f>
          </x14:formula1>
          <xm:sqref>J2:J1000</xm:sqref>
        </x14:dataValidation>
        <x14:dataValidation type="list" allowBlank="1" showErrorMessage="1" errorTitle="Invalid value" error="Please select a valid value." xr:uid="{00000000-0002-0000-0A00-000001000000}">
          <x14:formula1>
            <xm:f>_lists!$B$2:$B$1000</xm:f>
          </x14:formula1>
          <xm:sqref>I2:I1000</xm:sqref>
        </x14:dataValidation>
        <x14:dataValidation type="list" allowBlank="1" showErrorMessage="1" errorTitle="Invalid value" error="Please select a valid value." xr:uid="{00000000-0002-0000-0A00-000000000000}">
          <x14:formula1>
            <xm:f>_lists!$A$2:$A$1000</xm:f>
          </x14:formula1>
          <xm:sqref>G2:G1000</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72"/>
  <sheetViews>
    <sheetView tabSelected="1" zoomScale="150" workbookViewId="0">
      <selection activeCell="A20" sqref="A20"/>
    </sheetView>
  </sheetViews>
  <sheetFormatPr baseColWidth="10" defaultColWidth="8.83203125" defaultRowHeight="15" x14ac:dyDescent="0.2"/>
  <cols>
    <col min="1" max="1" width="64" customWidth="1"/>
    <col min="2" max="2" width="24.1640625" customWidth="1"/>
  </cols>
  <sheetData>
    <row r="1" spans="1:3" x14ac:dyDescent="0.2">
      <c r="A1" t="s">
        <v>349</v>
      </c>
      <c r="B1" t="s">
        <v>8</v>
      </c>
      <c r="C1" t="s">
        <v>9</v>
      </c>
    </row>
    <row r="2" spans="1:3" x14ac:dyDescent="0.2">
      <c r="A2" t="s">
        <v>120</v>
      </c>
      <c r="B2" t="s">
        <v>45</v>
      </c>
      <c r="C2" t="s">
        <v>29</v>
      </c>
    </row>
    <row r="3" spans="1:3" x14ac:dyDescent="0.2">
      <c r="A3" t="s">
        <v>31</v>
      </c>
      <c r="B3" t="s">
        <v>24</v>
      </c>
      <c r="C3" t="s">
        <v>64</v>
      </c>
    </row>
    <row r="4" spans="1:3" x14ac:dyDescent="0.2">
      <c r="A4" t="s">
        <v>44</v>
      </c>
      <c r="B4" t="s">
        <v>106</v>
      </c>
      <c r="C4" t="s">
        <v>46</v>
      </c>
    </row>
    <row r="5" spans="1:3" x14ac:dyDescent="0.2">
      <c r="A5" t="s">
        <v>94</v>
      </c>
      <c r="B5" t="s">
        <v>350</v>
      </c>
      <c r="C5" t="s">
        <v>162</v>
      </c>
    </row>
    <row r="6" spans="1:3" x14ac:dyDescent="0.2">
      <c r="A6" t="s">
        <v>98</v>
      </c>
      <c r="B6" t="s">
        <v>111</v>
      </c>
      <c r="C6" t="s">
        <v>90</v>
      </c>
    </row>
    <row r="7" spans="1:3" x14ac:dyDescent="0.2">
      <c r="A7" t="s">
        <v>84</v>
      </c>
      <c r="B7" t="s">
        <v>99</v>
      </c>
      <c r="C7" t="s">
        <v>159</v>
      </c>
    </row>
    <row r="8" spans="1:3" x14ac:dyDescent="0.2">
      <c r="A8" t="s">
        <v>104</v>
      </c>
      <c r="B8" t="s">
        <v>32</v>
      </c>
      <c r="C8" t="s">
        <v>85</v>
      </c>
    </row>
    <row r="9" spans="1:3" x14ac:dyDescent="0.2">
      <c r="A9" t="s">
        <v>72</v>
      </c>
      <c r="B9" t="s">
        <v>100</v>
      </c>
      <c r="C9" t="s">
        <v>143</v>
      </c>
    </row>
    <row r="10" spans="1:3" x14ac:dyDescent="0.2">
      <c r="A10" t="s">
        <v>108</v>
      </c>
      <c r="B10" t="s">
        <v>82</v>
      </c>
      <c r="C10" t="s">
        <v>77</v>
      </c>
    </row>
    <row r="11" spans="1:3" x14ac:dyDescent="0.2">
      <c r="A11" t="s">
        <v>109</v>
      </c>
      <c r="B11" t="s">
        <v>53</v>
      </c>
      <c r="C11" t="s">
        <v>235</v>
      </c>
    </row>
    <row r="12" spans="1:3" x14ac:dyDescent="0.2">
      <c r="A12" t="s">
        <v>50</v>
      </c>
      <c r="B12" t="s">
        <v>73</v>
      </c>
      <c r="C12" t="s">
        <v>171</v>
      </c>
    </row>
    <row r="13" spans="1:3" x14ac:dyDescent="0.2">
      <c r="A13" t="s">
        <v>68</v>
      </c>
      <c r="B13" t="s">
        <v>85</v>
      </c>
      <c r="C13" t="s">
        <v>38</v>
      </c>
    </row>
    <row r="14" spans="1:3" x14ac:dyDescent="0.2">
      <c r="A14" t="s">
        <v>116</v>
      </c>
      <c r="B14" t="s">
        <v>143</v>
      </c>
      <c r="C14" t="s">
        <v>96</v>
      </c>
    </row>
    <row r="15" spans="1:3" x14ac:dyDescent="0.2">
      <c r="A15" t="s">
        <v>161</v>
      </c>
      <c r="B15" t="s">
        <v>77</v>
      </c>
      <c r="C15" t="s">
        <v>245</v>
      </c>
    </row>
    <row r="16" spans="1:3" x14ac:dyDescent="0.2">
      <c r="A16" t="s">
        <v>119</v>
      </c>
      <c r="B16" t="s">
        <v>235</v>
      </c>
      <c r="C16" t="s">
        <v>351</v>
      </c>
    </row>
    <row r="17" spans="1:3" x14ac:dyDescent="0.2">
      <c r="A17" t="s">
        <v>23</v>
      </c>
      <c r="B17" t="s">
        <v>171</v>
      </c>
      <c r="C17" t="s">
        <v>24</v>
      </c>
    </row>
    <row r="18" spans="1:3" x14ac:dyDescent="0.2">
      <c r="A18" t="s">
        <v>55</v>
      </c>
      <c r="B18" t="s">
        <v>38</v>
      </c>
      <c r="C18" t="s">
        <v>33</v>
      </c>
    </row>
    <row r="19" spans="1:3" x14ac:dyDescent="0.2">
      <c r="A19" t="s">
        <v>321</v>
      </c>
      <c r="B19" t="s">
        <v>96</v>
      </c>
      <c r="C19" t="s">
        <v>152</v>
      </c>
    </row>
    <row r="20" spans="1:3" x14ac:dyDescent="0.2">
      <c r="A20" t="s">
        <v>142</v>
      </c>
      <c r="B20" t="s">
        <v>245</v>
      </c>
      <c r="C20" t="s">
        <v>73</v>
      </c>
    </row>
    <row r="21" spans="1:3" x14ac:dyDescent="0.2">
      <c r="A21" t="s">
        <v>146</v>
      </c>
      <c r="B21" t="s">
        <v>351</v>
      </c>
      <c r="C21" t="s">
        <v>111</v>
      </c>
    </row>
    <row r="22" spans="1:3" x14ac:dyDescent="0.2">
      <c r="A22" t="s">
        <v>151</v>
      </c>
      <c r="B22" t="s">
        <v>95</v>
      </c>
      <c r="C22" t="s">
        <v>80</v>
      </c>
    </row>
    <row r="23" spans="1:3" x14ac:dyDescent="0.2">
      <c r="A23" t="s">
        <v>158</v>
      </c>
      <c r="B23" t="s">
        <v>76</v>
      </c>
      <c r="C23" t="s">
        <v>32</v>
      </c>
    </row>
    <row r="24" spans="1:3" x14ac:dyDescent="0.2">
      <c r="A24" t="s">
        <v>164</v>
      </c>
      <c r="B24" t="s">
        <v>114</v>
      </c>
      <c r="C24" t="s">
        <v>45</v>
      </c>
    </row>
    <row r="25" spans="1:3" x14ac:dyDescent="0.2">
      <c r="A25" t="s">
        <v>40</v>
      </c>
      <c r="B25" t="s">
        <v>56</v>
      </c>
      <c r="C25" t="s">
        <v>188</v>
      </c>
    </row>
    <row r="26" spans="1:3" x14ac:dyDescent="0.2">
      <c r="A26" t="s">
        <v>182</v>
      </c>
      <c r="B26" t="s">
        <v>226</v>
      </c>
      <c r="C26" t="s">
        <v>352</v>
      </c>
    </row>
    <row r="27" spans="1:3" x14ac:dyDescent="0.2">
      <c r="A27" t="s">
        <v>63</v>
      </c>
      <c r="B27" t="s">
        <v>322</v>
      </c>
      <c r="C27" t="s">
        <v>41</v>
      </c>
    </row>
    <row r="28" spans="1:3" x14ac:dyDescent="0.2">
      <c r="A28" t="s">
        <v>185</v>
      </c>
      <c r="B28" t="s">
        <v>80</v>
      </c>
      <c r="C28" t="s">
        <v>350</v>
      </c>
    </row>
    <row r="29" spans="1:3" x14ac:dyDescent="0.2">
      <c r="A29" t="s">
        <v>187</v>
      </c>
      <c r="B29" t="s">
        <v>41</v>
      </c>
      <c r="C29" t="s">
        <v>53</v>
      </c>
    </row>
    <row r="30" spans="1:3" x14ac:dyDescent="0.2">
      <c r="A30" t="s">
        <v>353</v>
      </c>
      <c r="B30" t="s">
        <v>28</v>
      </c>
      <c r="C30" t="s">
        <v>99</v>
      </c>
    </row>
    <row r="31" spans="1:3" x14ac:dyDescent="0.2">
      <c r="A31" t="s">
        <v>49</v>
      </c>
      <c r="B31" t="s">
        <v>280</v>
      </c>
      <c r="C31" t="s">
        <v>100</v>
      </c>
    </row>
    <row r="32" spans="1:3" x14ac:dyDescent="0.2">
      <c r="A32" t="s">
        <v>70</v>
      </c>
      <c r="B32" t="s">
        <v>37</v>
      </c>
      <c r="C32" t="s">
        <v>106</v>
      </c>
    </row>
    <row r="33" spans="1:3" x14ac:dyDescent="0.2">
      <c r="A33" t="s">
        <v>194</v>
      </c>
      <c r="C33" t="s">
        <v>51</v>
      </c>
    </row>
    <row r="34" spans="1:3" x14ac:dyDescent="0.2">
      <c r="A34" t="s">
        <v>217</v>
      </c>
      <c r="C34" t="s">
        <v>71</v>
      </c>
    </row>
    <row r="35" spans="1:3" x14ac:dyDescent="0.2">
      <c r="A35" t="s">
        <v>223</v>
      </c>
      <c r="C35" t="s">
        <v>25</v>
      </c>
    </row>
    <row r="36" spans="1:3" x14ac:dyDescent="0.2">
      <c r="A36" t="s">
        <v>225</v>
      </c>
      <c r="C36" t="s">
        <v>147</v>
      </c>
    </row>
    <row r="37" spans="1:3" x14ac:dyDescent="0.2">
      <c r="A37" t="s">
        <v>230</v>
      </c>
      <c r="C37" t="s">
        <v>83</v>
      </c>
    </row>
    <row r="38" spans="1:3" x14ac:dyDescent="0.2">
      <c r="A38" t="s">
        <v>232</v>
      </c>
      <c r="C38" t="s">
        <v>274</v>
      </c>
    </row>
    <row r="39" spans="1:3" x14ac:dyDescent="0.2">
      <c r="A39" t="s">
        <v>234</v>
      </c>
      <c r="C39" t="s">
        <v>125</v>
      </c>
    </row>
    <row r="40" spans="1:3" x14ac:dyDescent="0.2">
      <c r="A40" t="s">
        <v>237</v>
      </c>
      <c r="C40" t="s">
        <v>117</v>
      </c>
    </row>
    <row r="41" spans="1:3" x14ac:dyDescent="0.2">
      <c r="A41" t="s">
        <v>244</v>
      </c>
      <c r="C41" t="s">
        <v>110</v>
      </c>
    </row>
    <row r="42" spans="1:3" x14ac:dyDescent="0.2">
      <c r="A42" t="s">
        <v>256</v>
      </c>
      <c r="C42" t="s">
        <v>183</v>
      </c>
    </row>
    <row r="43" spans="1:3" x14ac:dyDescent="0.2">
      <c r="A43" t="s">
        <v>261</v>
      </c>
      <c r="C43" t="s">
        <v>195</v>
      </c>
    </row>
    <row r="44" spans="1:3" x14ac:dyDescent="0.2">
      <c r="A44" t="s">
        <v>265</v>
      </c>
      <c r="C44" t="s">
        <v>322</v>
      </c>
    </row>
    <row r="45" spans="1:3" x14ac:dyDescent="0.2">
      <c r="A45" t="s">
        <v>268</v>
      </c>
      <c r="C45" t="s">
        <v>58</v>
      </c>
    </row>
    <row r="46" spans="1:3" x14ac:dyDescent="0.2">
      <c r="A46" t="s">
        <v>273</v>
      </c>
    </row>
    <row r="47" spans="1:3" x14ac:dyDescent="0.2">
      <c r="A47" t="s">
        <v>279</v>
      </c>
    </row>
    <row r="48" spans="1:3" x14ac:dyDescent="0.2">
      <c r="A48" t="s">
        <v>286</v>
      </c>
    </row>
    <row r="49" spans="1:1" x14ac:dyDescent="0.2">
      <c r="A49" t="s">
        <v>89</v>
      </c>
    </row>
    <row r="50" spans="1:1" x14ac:dyDescent="0.2">
      <c r="A50" t="s">
        <v>75</v>
      </c>
    </row>
    <row r="51" spans="1:1" x14ac:dyDescent="0.2">
      <c r="A51" t="s">
        <v>81</v>
      </c>
    </row>
    <row r="52" spans="1:1" x14ac:dyDescent="0.2">
      <c r="A52" t="s">
        <v>295</v>
      </c>
    </row>
    <row r="53" spans="1:1" x14ac:dyDescent="0.2">
      <c r="A53" t="s">
        <v>170</v>
      </c>
    </row>
    <row r="54" spans="1:1" x14ac:dyDescent="0.2">
      <c r="A54" t="s">
        <v>308</v>
      </c>
    </row>
    <row r="55" spans="1:1" x14ac:dyDescent="0.2">
      <c r="A55" t="s">
        <v>309</v>
      </c>
    </row>
    <row r="56" spans="1:1" x14ac:dyDescent="0.2">
      <c r="A56" t="s">
        <v>327</v>
      </c>
    </row>
    <row r="57" spans="1:1" x14ac:dyDescent="0.2">
      <c r="A57" t="s">
        <v>329</v>
      </c>
    </row>
    <row r="58" spans="1:1" x14ac:dyDescent="0.2">
      <c r="A58" t="s">
        <v>36</v>
      </c>
    </row>
    <row r="59" spans="1:1" x14ac:dyDescent="0.2">
      <c r="A59" t="s">
        <v>62</v>
      </c>
    </row>
    <row r="60" spans="1:1" x14ac:dyDescent="0.2">
      <c r="A60" t="s">
        <v>66</v>
      </c>
    </row>
    <row r="61" spans="1:1" x14ac:dyDescent="0.2">
      <c r="A61" t="s">
        <v>347</v>
      </c>
    </row>
    <row r="62" spans="1:1" x14ac:dyDescent="0.2">
      <c r="A62" t="s">
        <v>78</v>
      </c>
    </row>
    <row r="68" ht="16" customHeight="1" x14ac:dyDescent="0.2"/>
    <row r="69" ht="16" customHeight="1" x14ac:dyDescent="0.2"/>
    <row r="70" ht="16" customHeight="1" x14ac:dyDescent="0.2"/>
    <row r="71" ht="16" customHeight="1" x14ac:dyDescent="0.2"/>
    <row r="72" ht="16" customHeight="1" x14ac:dyDescent="0.2"/>
  </sheetData>
  <dataValidations count="3">
    <dataValidation type="list" allowBlank="1" sqref="A54" xr:uid="{00000000-0002-0000-0C00-000000000000}">
      <formula1>$A$2:$A$1000</formula1>
    </dataValidation>
    <dataValidation type="list" allowBlank="1" showErrorMessage="1" errorTitle="Invalid value" error="Please select a valid value from the list." sqref="A60:A62" xr:uid="{00000000-0002-0000-0C00-000001000000}">
      <formula1>$A$2:$A$1000</formula1>
    </dataValidation>
    <dataValidation type="list" allowBlank="1" showInputMessage="1" showErrorMessage="1" errorTitle="Invalid value" error="Please select from the list or leave blank." promptTitle="Select value" prompt="Select or type an action" sqref="A51 A57 A55" xr:uid="{00000000-0002-0000-0C00-000002000000}">
      <formula1>$A$2:$A$1048576</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TEMPLATE</vt:lpstr>
      <vt:lpstr>Video-1-Sample-1</vt:lpstr>
      <vt:lpstr>Video-2-Sample-1</vt:lpstr>
      <vt:lpstr>Video-3-Sample-1</vt:lpstr>
      <vt:lpstr>Video-4-Sample-1</vt:lpstr>
      <vt:lpstr>Video-5-Sample-1</vt:lpstr>
      <vt:lpstr>Video-6-Sample-1</vt:lpstr>
      <vt:lpstr>Video-7-Sample-1</vt:lpstr>
      <vt:lpstr>Video-8-Sample-1</vt:lpstr>
      <vt:lpstr>Video-9-Sample-1</vt:lpstr>
      <vt:lpstr>Video-10-Sample-1</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2026-08-23T15:47:30Z</dcterms:modified>
</cp:coreProperties>
</file>