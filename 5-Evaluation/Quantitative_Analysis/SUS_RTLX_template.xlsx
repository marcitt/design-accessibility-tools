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rci/Desktop/Creative-Visual-Design-Accessibility-Tools/Research/User Evaluation/"/>
    </mc:Choice>
  </mc:AlternateContent>
  <xr:revisionPtr revIDLastSave="0" documentId="13_ncr:1_{6A3C2CFC-E95A-154F-BA0D-01FD12701381}" xr6:coauthVersionLast="47" xr6:coauthVersionMax="47" xr10:uidLastSave="{00000000-0000-0000-0000-000000000000}"/>
  <bookViews>
    <workbookView xWindow="0" yWindow="760" windowWidth="22520" windowHeight="13640" tabRatio="500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I17" i="1" l="1"/>
  <c r="BH17" i="1"/>
  <c r="AN17" i="1"/>
  <c r="AM17" i="1"/>
  <c r="S17" i="1"/>
  <c r="R17" i="1"/>
  <c r="BI16" i="1"/>
  <c r="BH16" i="1"/>
  <c r="AN16" i="1"/>
  <c r="AM16" i="1"/>
  <c r="S16" i="1"/>
  <c r="R16" i="1"/>
  <c r="BI15" i="1"/>
  <c r="BH15" i="1"/>
  <c r="AN15" i="1"/>
  <c r="AM15" i="1"/>
  <c r="S15" i="1"/>
  <c r="R15" i="1"/>
  <c r="BI14" i="1"/>
  <c r="BH14" i="1"/>
  <c r="AN14" i="1"/>
  <c r="AM14" i="1"/>
  <c r="S14" i="1"/>
  <c r="R14" i="1"/>
  <c r="BI13" i="1"/>
  <c r="BH13" i="1"/>
  <c r="AN13" i="1"/>
  <c r="AM13" i="1"/>
  <c r="S13" i="1"/>
  <c r="R13" i="1"/>
  <c r="BI12" i="1"/>
  <c r="BH12" i="1"/>
  <c r="AN12" i="1"/>
  <c r="AM12" i="1"/>
  <c r="S12" i="1"/>
  <c r="R12" i="1"/>
  <c r="BI11" i="1"/>
  <c r="BH11" i="1"/>
  <c r="AN11" i="1"/>
  <c r="AM11" i="1"/>
  <c r="S11" i="1"/>
  <c r="R11" i="1"/>
  <c r="BI10" i="1"/>
  <c r="BH10" i="1"/>
  <c r="AN10" i="1"/>
  <c r="AM10" i="1"/>
  <c r="S10" i="1"/>
  <c r="R10" i="1"/>
  <c r="BI9" i="1"/>
  <c r="BH9" i="1"/>
  <c r="AN9" i="1"/>
  <c r="AM9" i="1"/>
  <c r="S9" i="1"/>
  <c r="R9" i="1"/>
  <c r="BI8" i="1"/>
  <c r="BH8" i="1"/>
  <c r="AN8" i="1"/>
  <c r="AM8" i="1"/>
  <c r="S8" i="1"/>
  <c r="R8" i="1"/>
  <c r="BI7" i="1"/>
  <c r="BH7" i="1"/>
  <c r="AN7" i="1"/>
  <c r="AM7" i="1"/>
  <c r="S7" i="1"/>
  <c r="R7" i="1"/>
  <c r="BI6" i="1"/>
  <c r="BH6" i="1"/>
  <c r="AN6" i="1"/>
  <c r="AM6" i="1"/>
  <c r="S6" i="1"/>
  <c r="R6" i="1"/>
  <c r="BI5" i="1"/>
  <c r="BH5" i="1"/>
  <c r="AN5" i="1"/>
  <c r="AM5" i="1"/>
  <c r="S5" i="1"/>
  <c r="R5" i="1"/>
  <c r="BI4" i="1"/>
  <c r="BH4" i="1"/>
  <c r="AN4" i="1"/>
  <c r="AM4" i="1"/>
  <c r="S4" i="1"/>
  <c r="R4" i="1"/>
  <c r="BI3" i="1"/>
  <c r="BH3" i="1"/>
  <c r="AN3" i="1"/>
  <c r="AM3" i="1"/>
  <c r="S3" i="1"/>
  <c r="R3" i="1"/>
  <c r="BI20" i="1" l="1"/>
  <c r="F3" i="2" s="1"/>
  <c r="B4" i="2"/>
  <c r="BI19" i="1"/>
  <c r="E3" i="2" s="1"/>
  <c r="H3" i="2" s="1"/>
  <c r="BH20" i="1"/>
  <c r="D3" i="2" s="1"/>
  <c r="B3" i="2"/>
  <c r="AN19" i="1"/>
  <c r="E4" i="2" s="1"/>
  <c r="H4" i="2" s="1"/>
  <c r="AN20" i="1"/>
  <c r="F4" i="2" s="1"/>
  <c r="AM20" i="1"/>
  <c r="D4" i="2" s="1"/>
  <c r="AM19" i="1"/>
  <c r="C4" i="2" s="1"/>
  <c r="G4" i="2" s="1"/>
  <c r="S20" i="1"/>
  <c r="F2" i="2" s="1"/>
  <c r="S19" i="1"/>
  <c r="E2" i="2" s="1"/>
  <c r="H2" i="2" s="1"/>
  <c r="R20" i="1"/>
  <c r="D2" i="2" s="1"/>
  <c r="B2" i="2"/>
  <c r="BH19" i="1"/>
  <c r="C3" i="2" s="1"/>
  <c r="G3" i="2" s="1"/>
  <c r="R19" i="1"/>
  <c r="C2" i="2" s="1"/>
  <c r="G2" i="2" s="1"/>
</calcChain>
</file>

<file path=xl/sharedStrings.xml><?xml version="1.0" encoding="utf-8"?>
<sst xmlns="http://schemas.openxmlformats.org/spreadsheetml/2006/main" count="77" uniqueCount="32">
  <si>
    <t>Figma</t>
  </si>
  <si>
    <t>Voice Control</t>
  </si>
  <si>
    <t>Plugin</t>
  </si>
  <si>
    <t>P#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</si>
  <si>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</si>
  <si>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</si>
  <si>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</si>
  <si>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</si>
  <si>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</si>
  <si>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</si>
  <si>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</si>
  <si>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</si>
  <si>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</si>
  <si>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</si>
  <si>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Mental</t>
  </si>
  <si>
    <t>Physical</t>
  </si>
  <si>
    <t>Temporal</t>
  </si>
  <si>
    <t>Perf</t>
  </si>
  <si>
    <t>Effort</t>
  </si>
  <si>
    <t>Frust</t>
  </si>
  <si>
    <t>SUS</t>
  </si>
  <si>
    <t>RTLX</t>
  </si>
  <si>
    <t>Mean</t>
  </si>
  <si>
    <t>SD</t>
  </si>
  <si>
    <t>Condition</t>
  </si>
  <si>
    <t>N</t>
  </si>
  <si>
    <t>Mean SUS</t>
  </si>
  <si>
    <t>SD SUS</t>
  </si>
  <si>
    <t>Mean RTLX</t>
  </si>
  <si>
    <t>SD RTLX</t>
  </si>
  <si>
    <t>Norm SUS</t>
  </si>
  <si>
    <t>Norm RTLX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</si>
</sst>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0"/>
  <sheetViews>
    <sheetView tabSelected="1" topLeftCell="AO1" zoomScaleNormal="100" workbookViewId="0">
      <selection activeCell="BH17" sqref="BH17"/>
    </sheetView>
  </sheetViews>
  <sheetFormatPr baseColWidth="10" defaultColWidth="8.6640625" defaultRowHeight="15" x14ac:dyDescent="0.2"/>
  <cols>
    <col min="1" max="61" width="8" customWidth="1"/>
  </cols>
  <sheetData>
    <row r="1" spans="1:61" x14ac:dyDescent="0.2">
      <c r="A1" s="1" t="s">
        <v>0</v>
      </c>
      <c r="V1" s="1" t="s">
        <v>1</v>
      </c>
      <c r="AQ1" s="1" t="s">
        <v>2</v>
      </c>
    </row>
    <row r="2" spans="1:6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Q2" s="1" t="s">
        <v>3</v>
      </c>
      <c r="AR2" s="1" t="s">
        <v>4</v>
      </c>
      <c r="AS2" s="1" t="s">
        <v>5</v>
      </c>
      <c r="AT2" s="1" t="s">
        <v>6</v>
      </c>
      <c r="AU2" s="1" t="s">
        <v>7</v>
      </c>
      <c r="AV2" s="1" t="s">
        <v>8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18</v>
      </c>
      <c r="BG2" s="1" t="s">
        <v>19</v>
      </c>
      <c r="BH2" s="1" t="s">
        <v>20</v>
      </c>
      <c r="BI2" s="1" t="s">
        <v>21</v>
      </c>
    </row>
    <row r="3" spans="1:61" x14ac:dyDescent="0.2">
      <c r="A3" s="2">
        <v>1</v>
      </c>
      <c r="B3">
        <v>5</v>
      </c>
      <c r="C3">
        <v>1</v>
      </c>
      <c r="D3">
        <v>5</v>
      </c>
      <c r="E3">
        <v>1</v>
      </c>
      <c r="F3">
        <v>5</v>
      </c>
      <c r="G3">
        <v>1</v>
      </c>
      <c r="H3">
        <v>5</v>
      </c>
      <c r="I3">
        <v>1</v>
      </c>
      <c r="J3">
        <v>5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f t="shared" ref="R3:R17" si="0">IF(COUNTA(B3:K3)=10,((B3-1)+(D3-1)+(F3-1)+(H3-1)+(J3-1)+(5-C3)+(5-E3)+(5-G3)+(5-I3)+(5-K3))*2.5,"")</f>
        <v>100</v>
      </c>
      <c r="S3">
        <f t="shared" ref="S3:S17" si="1">IF(COUNTA(L3:Q3)=6,AVERAGE(L3:Q3),"")</f>
        <v>0</v>
      </c>
      <c r="V3" s="2">
        <v>1</v>
      </c>
      <c r="W3">
        <v>3</v>
      </c>
      <c r="X3">
        <v>5</v>
      </c>
      <c r="Y3">
        <v>1</v>
      </c>
      <c r="Z3">
        <v>5</v>
      </c>
      <c r="AA3">
        <v>3</v>
      </c>
      <c r="AB3">
        <v>5</v>
      </c>
      <c r="AC3">
        <v>1</v>
      </c>
      <c r="AD3">
        <v>5</v>
      </c>
      <c r="AE3">
        <v>1</v>
      </c>
      <c r="AF3">
        <v>5</v>
      </c>
      <c r="AG3">
        <v>95</v>
      </c>
      <c r="AH3">
        <v>5</v>
      </c>
      <c r="AI3">
        <v>75</v>
      </c>
      <c r="AJ3">
        <v>50</v>
      </c>
      <c r="AK3">
        <v>90</v>
      </c>
      <c r="AL3">
        <v>90</v>
      </c>
      <c r="AM3">
        <f t="shared" ref="AM3:AM17" si="2">IF(COUNTA(W3:AF3)=10,((W3-1)+(Y3-1)+(AA3-1)+(AC3-1)+(AE3-1)+(5-X3)+(5-Z3)+(5-AB3)+(5-AD3)+(5-AF3))*2.5,"")</f>
        <v>10</v>
      </c>
      <c r="AN3">
        <f t="shared" ref="AN3:AN17" si="3">IF(COUNTA(AG3:AL3)=6,AVERAGE(AG3:AL3),"")</f>
        <v>67.5</v>
      </c>
      <c r="AQ3" s="2">
        <v>1</v>
      </c>
      <c r="AR3">
        <v>2</v>
      </c>
      <c r="AS3">
        <v>2</v>
      </c>
      <c r="AT3">
        <v>3</v>
      </c>
      <c r="AU3">
        <v>3</v>
      </c>
      <c r="AV3">
        <v>3</v>
      </c>
      <c r="AW3">
        <v>4</v>
      </c>
      <c r="AX3">
        <v>3</v>
      </c>
      <c r="AY3">
        <v>3</v>
      </c>
      <c r="AZ3">
        <v>3</v>
      </c>
      <c r="BA3">
        <v>3</v>
      </c>
      <c r="BB3">
        <v>90</v>
      </c>
      <c r="BC3">
        <v>5</v>
      </c>
      <c r="BD3">
        <v>100</v>
      </c>
      <c r="BE3">
        <v>25</v>
      </c>
      <c r="BF3">
        <v>50</v>
      </c>
      <c r="BG3">
        <v>90</v>
      </c>
      <c r="BH3">
        <f t="shared" ref="BH3:BH17" si="4">IF(COUNTA(AR3:BA3)=10,((AR3-1)+(AT3-1)+(AV3-1)+(AX3-1)+(AZ3-1)+(5-AS3)+(5-AU3)+(5-AW3)+(5-AY3)+(5-BA3))*2.5,"")</f>
        <v>47.5</v>
      </c>
      <c r="BI3">
        <f t="shared" ref="BI3:BI17" si="5">IF(COUNTA(BB3:BG3)=6,AVERAGE(BB3:BG3),"")</f>
        <v>60</v>
      </c>
    </row>
    <row r="4" spans="1:61" x14ac:dyDescent="0.2">
      <c r="A4" s="2">
        <v>2</v>
      </c>
      <c r="B4">
        <v>5</v>
      </c>
      <c r="C4">
        <v>1</v>
      </c>
      <c r="D4">
        <v>5</v>
      </c>
      <c r="E4">
        <v>1</v>
      </c>
      <c r="F4">
        <v>5</v>
      </c>
      <c r="G4">
        <v>1</v>
      </c>
      <c r="H4">
        <v>5</v>
      </c>
      <c r="I4">
        <v>1</v>
      </c>
      <c r="J4">
        <v>5</v>
      </c>
      <c r="K4">
        <v>2</v>
      </c>
      <c r="L4">
        <v>0</v>
      </c>
      <c r="M4">
        <v>40</v>
      </c>
      <c r="N4">
        <v>10</v>
      </c>
      <c r="O4">
        <v>0</v>
      </c>
      <c r="P4">
        <v>0</v>
      </c>
      <c r="Q4">
        <v>0</v>
      </c>
      <c r="R4">
        <f t="shared" si="0"/>
        <v>97.5</v>
      </c>
      <c r="S4">
        <f t="shared" si="1"/>
        <v>8.3333333333333339</v>
      </c>
      <c r="V4" s="2">
        <v>2</v>
      </c>
      <c r="W4">
        <v>1</v>
      </c>
      <c r="X4">
        <v>4</v>
      </c>
      <c r="Y4">
        <v>3</v>
      </c>
      <c r="Z4">
        <v>2</v>
      </c>
      <c r="AA4">
        <v>3</v>
      </c>
      <c r="AB4">
        <v>2</v>
      </c>
      <c r="AC4">
        <v>4</v>
      </c>
      <c r="AD4">
        <v>3</v>
      </c>
      <c r="AE4">
        <v>3</v>
      </c>
      <c r="AF4">
        <v>4</v>
      </c>
      <c r="AG4">
        <v>40</v>
      </c>
      <c r="AH4">
        <v>50</v>
      </c>
      <c r="AI4">
        <v>80</v>
      </c>
      <c r="AJ4">
        <v>20</v>
      </c>
      <c r="AK4">
        <v>20</v>
      </c>
      <c r="AL4">
        <v>60</v>
      </c>
      <c r="AM4">
        <f t="shared" si="2"/>
        <v>47.5</v>
      </c>
      <c r="AN4">
        <f t="shared" si="3"/>
        <v>45</v>
      </c>
      <c r="AQ4" s="2">
        <v>2</v>
      </c>
      <c r="AR4">
        <v>3</v>
      </c>
      <c r="AS4">
        <v>3</v>
      </c>
      <c r="AT4">
        <v>4</v>
      </c>
      <c r="AU4">
        <v>3</v>
      </c>
      <c r="AV4">
        <v>4</v>
      </c>
      <c r="AW4">
        <v>4</v>
      </c>
      <c r="AX4">
        <v>4</v>
      </c>
      <c r="AY4">
        <v>2</v>
      </c>
      <c r="AZ4">
        <v>4</v>
      </c>
      <c r="BA4">
        <v>3</v>
      </c>
      <c r="BB4">
        <v>30</v>
      </c>
      <c r="BC4">
        <v>10</v>
      </c>
      <c r="BD4">
        <v>5</v>
      </c>
      <c r="BE4">
        <v>40</v>
      </c>
      <c r="BF4">
        <v>60</v>
      </c>
      <c r="BG4">
        <v>30</v>
      </c>
      <c r="BH4">
        <f t="shared" si="4"/>
        <v>60</v>
      </c>
      <c r="BI4">
        <f t="shared" si="5"/>
        <v>29.166666666666668</v>
      </c>
    </row>
    <row r="5" spans="1:61" x14ac:dyDescent="0.2">
      <c r="A5" s="2">
        <v>3</v>
      </c>
      <c r="B5">
        <v>5</v>
      </c>
      <c r="C5">
        <v>1</v>
      </c>
      <c r="D5">
        <v>5</v>
      </c>
      <c r="E5">
        <v>1</v>
      </c>
      <c r="F5">
        <v>5</v>
      </c>
      <c r="G5">
        <v>1</v>
      </c>
      <c r="H5">
        <v>4</v>
      </c>
      <c r="I5">
        <v>1</v>
      </c>
      <c r="J5">
        <v>5</v>
      </c>
      <c r="K5">
        <v>1</v>
      </c>
      <c r="L5">
        <v>0</v>
      </c>
      <c r="M5">
        <v>15</v>
      </c>
      <c r="N5">
        <v>5</v>
      </c>
      <c r="O5">
        <v>5</v>
      </c>
      <c r="P5">
        <v>10</v>
      </c>
      <c r="Q5">
        <v>10</v>
      </c>
      <c r="R5">
        <f t="shared" si="0"/>
        <v>97.5</v>
      </c>
      <c r="S5">
        <f t="shared" si="1"/>
        <v>7.5</v>
      </c>
      <c r="V5" s="2">
        <v>3</v>
      </c>
      <c r="W5">
        <v>1</v>
      </c>
      <c r="X5">
        <v>4</v>
      </c>
      <c r="Y5">
        <v>2</v>
      </c>
      <c r="Z5">
        <v>4</v>
      </c>
      <c r="AA5">
        <v>2</v>
      </c>
      <c r="AB5">
        <v>4</v>
      </c>
      <c r="AC5">
        <v>1</v>
      </c>
      <c r="AD5">
        <v>5</v>
      </c>
      <c r="AE5">
        <v>1</v>
      </c>
      <c r="AF5">
        <v>4</v>
      </c>
      <c r="AG5">
        <v>80</v>
      </c>
      <c r="AH5">
        <v>0</v>
      </c>
      <c r="AI5">
        <v>100</v>
      </c>
      <c r="AJ5">
        <v>90</v>
      </c>
      <c r="AK5">
        <v>100</v>
      </c>
      <c r="AL5">
        <v>100</v>
      </c>
      <c r="AM5">
        <f t="shared" si="2"/>
        <v>15</v>
      </c>
      <c r="AN5">
        <f t="shared" si="3"/>
        <v>78.333333333333329</v>
      </c>
      <c r="AQ5" s="2">
        <v>3</v>
      </c>
      <c r="AR5">
        <v>3</v>
      </c>
      <c r="AS5">
        <v>4</v>
      </c>
      <c r="AT5">
        <v>3</v>
      </c>
      <c r="AU5">
        <v>3</v>
      </c>
      <c r="AV5">
        <v>4</v>
      </c>
      <c r="AW5">
        <v>2</v>
      </c>
      <c r="AX5">
        <v>1</v>
      </c>
      <c r="AY5">
        <v>4</v>
      </c>
      <c r="AZ5">
        <v>3</v>
      </c>
      <c r="BA5">
        <v>2</v>
      </c>
      <c r="BB5">
        <v>70</v>
      </c>
      <c r="BC5">
        <v>0</v>
      </c>
      <c r="BD5">
        <v>60</v>
      </c>
      <c r="BE5">
        <v>45</v>
      </c>
      <c r="BF5">
        <v>45</v>
      </c>
      <c r="BG5">
        <v>45</v>
      </c>
      <c r="BH5">
        <f t="shared" si="4"/>
        <v>47.5</v>
      </c>
      <c r="BI5">
        <f t="shared" si="5"/>
        <v>44.166666666666664</v>
      </c>
    </row>
    <row r="6" spans="1:61" x14ac:dyDescent="0.2">
      <c r="A6" s="2">
        <v>4</v>
      </c>
      <c r="B6">
        <v>5</v>
      </c>
      <c r="C6">
        <v>1</v>
      </c>
      <c r="D6">
        <v>5</v>
      </c>
      <c r="E6">
        <v>1</v>
      </c>
      <c r="F6">
        <v>5</v>
      </c>
      <c r="G6">
        <v>1</v>
      </c>
      <c r="H6">
        <v>4</v>
      </c>
      <c r="I6">
        <v>4</v>
      </c>
      <c r="J6">
        <v>4</v>
      </c>
      <c r="K6">
        <v>4</v>
      </c>
      <c r="L6">
        <v>0</v>
      </c>
      <c r="M6">
        <v>20</v>
      </c>
      <c r="N6">
        <v>0</v>
      </c>
      <c r="O6">
        <v>10</v>
      </c>
      <c r="P6">
        <v>10</v>
      </c>
      <c r="Q6">
        <v>0</v>
      </c>
      <c r="R6">
        <f t="shared" si="0"/>
        <v>80</v>
      </c>
      <c r="S6">
        <f t="shared" si="1"/>
        <v>6.666666666666667</v>
      </c>
      <c r="V6" s="2">
        <v>4</v>
      </c>
      <c r="W6">
        <v>2</v>
      </c>
      <c r="X6">
        <v>3</v>
      </c>
      <c r="Y6">
        <v>3</v>
      </c>
      <c r="Z6">
        <v>2</v>
      </c>
      <c r="AA6">
        <v>4</v>
      </c>
      <c r="AB6">
        <v>1</v>
      </c>
      <c r="AC6">
        <v>4</v>
      </c>
      <c r="AD6">
        <v>2</v>
      </c>
      <c r="AE6">
        <v>4</v>
      </c>
      <c r="AF6">
        <v>4</v>
      </c>
      <c r="AG6">
        <v>60</v>
      </c>
      <c r="AH6">
        <v>10</v>
      </c>
      <c r="AI6">
        <v>75</v>
      </c>
      <c r="AJ6">
        <v>55</v>
      </c>
      <c r="AK6">
        <v>60</v>
      </c>
      <c r="AL6">
        <v>50</v>
      </c>
      <c r="AM6">
        <f t="shared" si="2"/>
        <v>62.5</v>
      </c>
      <c r="AN6">
        <f t="shared" si="3"/>
        <v>51.666666666666664</v>
      </c>
      <c r="AQ6" s="2">
        <v>4</v>
      </c>
      <c r="AR6">
        <v>3</v>
      </c>
      <c r="AS6">
        <v>1</v>
      </c>
      <c r="AT6">
        <v>4</v>
      </c>
      <c r="AU6">
        <v>1</v>
      </c>
      <c r="AV6">
        <v>4</v>
      </c>
      <c r="AW6">
        <v>1</v>
      </c>
      <c r="AX6">
        <v>5</v>
      </c>
      <c r="AY6">
        <v>1</v>
      </c>
      <c r="AZ6">
        <v>4</v>
      </c>
      <c r="BA6">
        <v>2</v>
      </c>
      <c r="BB6">
        <v>20</v>
      </c>
      <c r="BC6">
        <v>0</v>
      </c>
      <c r="BD6">
        <v>20</v>
      </c>
      <c r="BE6">
        <v>35</v>
      </c>
      <c r="BF6">
        <v>30</v>
      </c>
      <c r="BG6">
        <v>15</v>
      </c>
      <c r="BH6">
        <f t="shared" si="4"/>
        <v>85</v>
      </c>
      <c r="BI6">
        <f t="shared" si="5"/>
        <v>20</v>
      </c>
    </row>
    <row r="7" spans="1:61" x14ac:dyDescent="0.2">
      <c r="A7" s="2">
        <v>5</v>
      </c>
      <c r="B7">
        <v>5</v>
      </c>
      <c r="C7">
        <v>2</v>
      </c>
      <c r="D7">
        <v>5</v>
      </c>
      <c r="E7">
        <v>1</v>
      </c>
      <c r="F7">
        <v>5</v>
      </c>
      <c r="G7">
        <v>1</v>
      </c>
      <c r="H7">
        <v>5</v>
      </c>
      <c r="I7">
        <v>1</v>
      </c>
      <c r="J7">
        <v>5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f t="shared" si="0"/>
        <v>97.5</v>
      </c>
      <c r="S7">
        <f t="shared" si="1"/>
        <v>0</v>
      </c>
      <c r="V7" s="2">
        <v>5</v>
      </c>
      <c r="W7">
        <v>3</v>
      </c>
      <c r="X7">
        <v>3</v>
      </c>
      <c r="Y7">
        <v>3</v>
      </c>
      <c r="Z7">
        <v>2</v>
      </c>
      <c r="AA7">
        <v>3</v>
      </c>
      <c r="AB7">
        <v>2</v>
      </c>
      <c r="AC7">
        <v>3</v>
      </c>
      <c r="AD7">
        <v>3</v>
      </c>
      <c r="AE7">
        <v>3</v>
      </c>
      <c r="AF7">
        <v>2</v>
      </c>
      <c r="AG7">
        <v>65</v>
      </c>
      <c r="AH7">
        <v>0</v>
      </c>
      <c r="AI7">
        <v>75</v>
      </c>
      <c r="AJ7">
        <v>65</v>
      </c>
      <c r="AK7">
        <v>60</v>
      </c>
      <c r="AL7">
        <v>40</v>
      </c>
      <c r="AM7">
        <f t="shared" si="2"/>
        <v>57.5</v>
      </c>
      <c r="AN7">
        <f t="shared" si="3"/>
        <v>50.833333333333336</v>
      </c>
      <c r="AQ7" s="2">
        <v>5</v>
      </c>
      <c r="AR7">
        <v>3</v>
      </c>
      <c r="AS7">
        <v>2</v>
      </c>
      <c r="AT7">
        <v>3</v>
      </c>
      <c r="AU7">
        <v>3</v>
      </c>
      <c r="AV7">
        <v>3</v>
      </c>
      <c r="AW7">
        <v>3</v>
      </c>
      <c r="AX7">
        <v>2</v>
      </c>
      <c r="AY7">
        <v>4</v>
      </c>
      <c r="AZ7">
        <v>2</v>
      </c>
      <c r="BA7">
        <v>3</v>
      </c>
      <c r="BB7">
        <v>60</v>
      </c>
      <c r="BC7">
        <v>0</v>
      </c>
      <c r="BD7">
        <v>40</v>
      </c>
      <c r="BE7">
        <v>75</v>
      </c>
      <c r="BF7">
        <v>60</v>
      </c>
      <c r="BG7">
        <v>50</v>
      </c>
      <c r="BH7">
        <f t="shared" si="4"/>
        <v>45</v>
      </c>
      <c r="BI7">
        <f t="shared" si="5"/>
        <v>47.5</v>
      </c>
    </row>
    <row r="8" spans="1:61" x14ac:dyDescent="0.2">
      <c r="A8" s="2">
        <v>6</v>
      </c>
      <c r="B8">
        <v>5</v>
      </c>
      <c r="C8">
        <v>2</v>
      </c>
      <c r="D8">
        <v>5</v>
      </c>
      <c r="E8">
        <v>2</v>
      </c>
      <c r="F8">
        <v>5</v>
      </c>
      <c r="G8">
        <v>2</v>
      </c>
      <c r="H8">
        <v>3</v>
      </c>
      <c r="I8">
        <v>2</v>
      </c>
      <c r="J8">
        <v>5</v>
      </c>
      <c r="K8">
        <v>4</v>
      </c>
      <c r="L8">
        <v>30</v>
      </c>
      <c r="M8">
        <v>30</v>
      </c>
      <c r="N8">
        <v>30</v>
      </c>
      <c r="O8">
        <v>20</v>
      </c>
      <c r="P8">
        <v>30</v>
      </c>
      <c r="Q8">
        <v>40</v>
      </c>
      <c r="R8">
        <f t="shared" si="0"/>
        <v>77.5</v>
      </c>
      <c r="S8">
        <f t="shared" si="1"/>
        <v>30</v>
      </c>
      <c r="V8" s="2">
        <v>6</v>
      </c>
      <c r="W8">
        <v>2</v>
      </c>
      <c r="X8">
        <v>2</v>
      </c>
      <c r="Y8">
        <v>3</v>
      </c>
      <c r="Z8">
        <v>4</v>
      </c>
      <c r="AA8">
        <v>4</v>
      </c>
      <c r="AB8">
        <v>2</v>
      </c>
      <c r="AC8">
        <v>4</v>
      </c>
      <c r="AD8">
        <v>3</v>
      </c>
      <c r="AE8">
        <v>3</v>
      </c>
      <c r="AF8">
        <v>2</v>
      </c>
      <c r="AG8">
        <v>70</v>
      </c>
      <c r="AH8">
        <v>30</v>
      </c>
      <c r="AI8">
        <v>90</v>
      </c>
      <c r="AJ8">
        <v>50</v>
      </c>
      <c r="AK8">
        <v>70</v>
      </c>
      <c r="AL8">
        <v>50</v>
      </c>
      <c r="AM8">
        <f t="shared" si="2"/>
        <v>57.5</v>
      </c>
      <c r="AN8">
        <f t="shared" si="3"/>
        <v>60</v>
      </c>
      <c r="AQ8" s="2">
        <v>6</v>
      </c>
      <c r="AR8">
        <v>2</v>
      </c>
      <c r="AS8">
        <v>2</v>
      </c>
      <c r="AT8">
        <v>3</v>
      </c>
      <c r="AU8">
        <v>4</v>
      </c>
      <c r="AV8">
        <v>3</v>
      </c>
      <c r="AW8">
        <v>2</v>
      </c>
      <c r="AX8">
        <v>3</v>
      </c>
      <c r="AY8">
        <v>3</v>
      </c>
      <c r="AZ8">
        <v>3</v>
      </c>
      <c r="BA8">
        <v>4</v>
      </c>
      <c r="BB8">
        <v>80</v>
      </c>
      <c r="BC8">
        <v>30</v>
      </c>
      <c r="BD8">
        <v>90</v>
      </c>
      <c r="BE8">
        <v>50</v>
      </c>
      <c r="BF8">
        <v>70</v>
      </c>
      <c r="BG8">
        <v>60</v>
      </c>
      <c r="BH8">
        <f t="shared" si="4"/>
        <v>47.5</v>
      </c>
      <c r="BI8">
        <f t="shared" si="5"/>
        <v>63.333333333333336</v>
      </c>
    </row>
    <row r="9" spans="1:61" x14ac:dyDescent="0.2">
      <c r="A9" s="2">
        <v>7</v>
      </c>
      <c r="B9">
        <v>4</v>
      </c>
      <c r="C9">
        <v>1</v>
      </c>
      <c r="D9">
        <v>4</v>
      </c>
      <c r="E9">
        <v>1</v>
      </c>
      <c r="F9">
        <v>4</v>
      </c>
      <c r="G9">
        <v>1</v>
      </c>
      <c r="H9">
        <v>2</v>
      </c>
      <c r="I9">
        <v>1</v>
      </c>
      <c r="J9">
        <v>4</v>
      </c>
      <c r="K9">
        <v>3</v>
      </c>
      <c r="L9">
        <v>30</v>
      </c>
      <c r="M9">
        <v>45</v>
      </c>
      <c r="N9">
        <v>15</v>
      </c>
      <c r="O9">
        <v>25</v>
      </c>
      <c r="P9">
        <v>15</v>
      </c>
      <c r="Q9">
        <v>25</v>
      </c>
      <c r="R9">
        <f t="shared" si="0"/>
        <v>77.5</v>
      </c>
      <c r="S9">
        <f t="shared" si="1"/>
        <v>25.833333333333332</v>
      </c>
      <c r="V9" s="2">
        <v>7</v>
      </c>
      <c r="W9">
        <v>1</v>
      </c>
      <c r="X9">
        <v>3</v>
      </c>
      <c r="Y9">
        <v>3</v>
      </c>
      <c r="Z9">
        <v>2</v>
      </c>
      <c r="AA9">
        <v>3</v>
      </c>
      <c r="AB9">
        <v>2</v>
      </c>
      <c r="AC9">
        <v>4</v>
      </c>
      <c r="AD9">
        <v>4</v>
      </c>
      <c r="AE9">
        <v>3</v>
      </c>
      <c r="AF9">
        <v>4</v>
      </c>
      <c r="AG9">
        <v>50</v>
      </c>
      <c r="AH9">
        <v>5</v>
      </c>
      <c r="AI9">
        <v>70</v>
      </c>
      <c r="AJ9">
        <v>30</v>
      </c>
      <c r="AK9">
        <v>65</v>
      </c>
      <c r="AL9">
        <v>60</v>
      </c>
      <c r="AM9">
        <f t="shared" si="2"/>
        <v>47.5</v>
      </c>
      <c r="AN9">
        <f t="shared" si="3"/>
        <v>46.666666666666664</v>
      </c>
      <c r="AQ9" s="2">
        <v>7</v>
      </c>
      <c r="AR9">
        <v>3</v>
      </c>
      <c r="AS9">
        <v>2</v>
      </c>
      <c r="AT9">
        <v>4</v>
      </c>
      <c r="AU9">
        <v>2</v>
      </c>
      <c r="AV9">
        <v>4</v>
      </c>
      <c r="AW9">
        <v>2</v>
      </c>
      <c r="AX9">
        <v>4</v>
      </c>
      <c r="AY9">
        <v>2</v>
      </c>
      <c r="AZ9">
        <v>3</v>
      </c>
      <c r="BA9">
        <v>3</v>
      </c>
      <c r="BB9">
        <v>40</v>
      </c>
      <c r="BC9">
        <v>5</v>
      </c>
      <c r="BD9">
        <v>20</v>
      </c>
      <c r="BE9">
        <v>35</v>
      </c>
      <c r="BF9">
        <v>35</v>
      </c>
      <c r="BG9">
        <v>45</v>
      </c>
      <c r="BH9">
        <f t="shared" si="4"/>
        <v>67.5</v>
      </c>
      <c r="BI9">
        <f t="shared" si="5"/>
        <v>30</v>
      </c>
    </row>
    <row r="10" spans="1:61" x14ac:dyDescent="0.2">
      <c r="A10" s="2">
        <v>8</v>
      </c>
      <c r="B10">
        <v>4</v>
      </c>
      <c r="C10">
        <v>1</v>
      </c>
      <c r="D10">
        <v>4</v>
      </c>
      <c r="E10">
        <v>2</v>
      </c>
      <c r="F10">
        <v>3</v>
      </c>
      <c r="G10">
        <v>2</v>
      </c>
      <c r="H10">
        <v>3</v>
      </c>
      <c r="I10">
        <v>2</v>
      </c>
      <c r="J10">
        <v>4</v>
      </c>
      <c r="K10">
        <v>2</v>
      </c>
      <c r="L10">
        <v>20</v>
      </c>
      <c r="M10">
        <v>5</v>
      </c>
      <c r="N10">
        <v>15</v>
      </c>
      <c r="O10">
        <v>10</v>
      </c>
      <c r="P10">
        <v>10</v>
      </c>
      <c r="Q10">
        <v>10</v>
      </c>
      <c r="R10">
        <f t="shared" si="0"/>
        <v>72.5</v>
      </c>
      <c r="S10">
        <f t="shared" si="1"/>
        <v>11.666666666666666</v>
      </c>
      <c r="V10" s="2">
        <v>8</v>
      </c>
      <c r="W10">
        <v>2</v>
      </c>
      <c r="X10">
        <v>2</v>
      </c>
      <c r="Y10">
        <v>2</v>
      </c>
      <c r="Z10">
        <v>3</v>
      </c>
      <c r="AA10">
        <v>3</v>
      </c>
      <c r="AB10">
        <v>3</v>
      </c>
      <c r="AC10">
        <v>3</v>
      </c>
      <c r="AD10">
        <v>4</v>
      </c>
      <c r="AE10">
        <v>3</v>
      </c>
      <c r="AF10">
        <v>2</v>
      </c>
      <c r="AG10">
        <v>40</v>
      </c>
      <c r="AH10">
        <v>45</v>
      </c>
      <c r="AI10">
        <v>60</v>
      </c>
      <c r="AJ10">
        <v>30</v>
      </c>
      <c r="AK10">
        <v>70</v>
      </c>
      <c r="AL10">
        <v>85</v>
      </c>
      <c r="AM10">
        <f t="shared" si="2"/>
        <v>47.5</v>
      </c>
      <c r="AN10">
        <f t="shared" si="3"/>
        <v>55</v>
      </c>
      <c r="AQ10" s="2">
        <v>8</v>
      </c>
      <c r="AR10">
        <v>3</v>
      </c>
      <c r="AS10">
        <v>2</v>
      </c>
      <c r="AT10">
        <v>4</v>
      </c>
      <c r="AU10">
        <v>2</v>
      </c>
      <c r="AV10">
        <v>5</v>
      </c>
      <c r="AW10">
        <v>4</v>
      </c>
      <c r="AX10">
        <v>4</v>
      </c>
      <c r="AY10">
        <v>3</v>
      </c>
      <c r="AZ10">
        <v>3</v>
      </c>
      <c r="BA10">
        <v>2</v>
      </c>
      <c r="BB10">
        <v>30</v>
      </c>
      <c r="BC10">
        <v>50</v>
      </c>
      <c r="BD10">
        <v>35</v>
      </c>
      <c r="BE10">
        <v>25</v>
      </c>
      <c r="BF10">
        <v>50</v>
      </c>
      <c r="BG10">
        <v>55</v>
      </c>
      <c r="BH10">
        <f t="shared" si="4"/>
        <v>65</v>
      </c>
      <c r="BI10">
        <f t="shared" si="5"/>
        <v>40.833333333333336</v>
      </c>
    </row>
    <row r="11" spans="1:61" x14ac:dyDescent="0.2">
      <c r="A11" s="2">
        <v>9</v>
      </c>
      <c r="B11">
        <v>5</v>
      </c>
      <c r="C11">
        <v>1</v>
      </c>
      <c r="D11">
        <v>5</v>
      </c>
      <c r="E11">
        <v>1</v>
      </c>
      <c r="F11">
        <v>5</v>
      </c>
      <c r="G11">
        <v>1</v>
      </c>
      <c r="H11">
        <v>5</v>
      </c>
      <c r="I11">
        <v>1</v>
      </c>
      <c r="J11">
        <v>5</v>
      </c>
      <c r="K11">
        <v>1</v>
      </c>
      <c r="L11">
        <v>80</v>
      </c>
      <c r="M11">
        <v>30</v>
      </c>
      <c r="N11">
        <v>50</v>
      </c>
      <c r="O11">
        <v>0</v>
      </c>
      <c r="P11">
        <v>10</v>
      </c>
      <c r="Q11">
        <v>0</v>
      </c>
      <c r="R11">
        <f t="shared" si="0"/>
        <v>100</v>
      </c>
      <c r="S11">
        <f t="shared" si="1"/>
        <v>28.333333333333332</v>
      </c>
      <c r="V11" s="2">
        <v>9</v>
      </c>
      <c r="W11">
        <v>1</v>
      </c>
      <c r="X11">
        <v>2</v>
      </c>
      <c r="Y11">
        <v>4</v>
      </c>
      <c r="Z11">
        <v>1</v>
      </c>
      <c r="AA11">
        <v>2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70</v>
      </c>
      <c r="AH11">
        <v>0</v>
      </c>
      <c r="AI11">
        <v>50</v>
      </c>
      <c r="AJ11">
        <v>30</v>
      </c>
      <c r="AK11">
        <v>40</v>
      </c>
      <c r="AL11">
        <v>65</v>
      </c>
      <c r="AM11">
        <f t="shared" si="2"/>
        <v>55</v>
      </c>
      <c r="AN11">
        <f t="shared" si="3"/>
        <v>42.5</v>
      </c>
      <c r="AQ11" s="2">
        <v>9</v>
      </c>
      <c r="AR11">
        <v>1</v>
      </c>
      <c r="AS11">
        <v>1</v>
      </c>
      <c r="AT11">
        <v>5</v>
      </c>
      <c r="AU11">
        <v>1</v>
      </c>
      <c r="AV11">
        <v>5</v>
      </c>
      <c r="AW11">
        <v>1</v>
      </c>
      <c r="AX11">
        <v>4</v>
      </c>
      <c r="AY11">
        <v>2</v>
      </c>
      <c r="AZ11">
        <v>4</v>
      </c>
      <c r="BA11">
        <v>3</v>
      </c>
      <c r="BB11">
        <v>50</v>
      </c>
      <c r="BC11">
        <v>0</v>
      </c>
      <c r="BD11">
        <v>30</v>
      </c>
      <c r="BE11">
        <v>10</v>
      </c>
      <c r="BF11">
        <v>30</v>
      </c>
      <c r="BG11">
        <v>50</v>
      </c>
      <c r="BH11">
        <f t="shared" si="4"/>
        <v>77.5</v>
      </c>
      <c r="BI11">
        <f t="shared" si="5"/>
        <v>28.333333333333332</v>
      </c>
    </row>
    <row r="12" spans="1:61" x14ac:dyDescent="0.2">
      <c r="A12" s="2">
        <v>10</v>
      </c>
      <c r="B12">
        <v>5</v>
      </c>
      <c r="C12">
        <v>1</v>
      </c>
      <c r="D12">
        <v>5</v>
      </c>
      <c r="E12">
        <v>1</v>
      </c>
      <c r="F12">
        <v>5</v>
      </c>
      <c r="G12">
        <v>1</v>
      </c>
      <c r="H12">
        <v>4</v>
      </c>
      <c r="I12">
        <v>1</v>
      </c>
      <c r="J12">
        <v>5</v>
      </c>
      <c r="K12">
        <v>4</v>
      </c>
      <c r="L12">
        <v>0</v>
      </c>
      <c r="M12">
        <v>20</v>
      </c>
      <c r="N12">
        <v>0</v>
      </c>
      <c r="O12">
        <v>0</v>
      </c>
      <c r="P12">
        <v>0</v>
      </c>
      <c r="Q12">
        <v>5</v>
      </c>
      <c r="R12">
        <f t="shared" si="0"/>
        <v>90</v>
      </c>
      <c r="S12">
        <f t="shared" si="1"/>
        <v>4.166666666666667</v>
      </c>
      <c r="V12" s="2">
        <v>10</v>
      </c>
      <c r="W12">
        <v>2</v>
      </c>
      <c r="X12">
        <v>5</v>
      </c>
      <c r="Y12">
        <v>1</v>
      </c>
      <c r="Z12">
        <v>2</v>
      </c>
      <c r="AA12">
        <v>1</v>
      </c>
      <c r="AB12">
        <v>2</v>
      </c>
      <c r="AC12">
        <v>3</v>
      </c>
      <c r="AD12">
        <v>5</v>
      </c>
      <c r="AE12">
        <v>3</v>
      </c>
      <c r="AF12">
        <v>5</v>
      </c>
      <c r="AG12">
        <v>60</v>
      </c>
      <c r="AH12">
        <v>0</v>
      </c>
      <c r="AI12">
        <v>65</v>
      </c>
      <c r="AJ12">
        <v>70</v>
      </c>
      <c r="AK12">
        <v>80</v>
      </c>
      <c r="AL12">
        <v>65</v>
      </c>
      <c r="AM12">
        <f t="shared" si="2"/>
        <v>27.5</v>
      </c>
      <c r="AN12">
        <f t="shared" si="3"/>
        <v>56.666666666666664</v>
      </c>
      <c r="AQ12" s="2">
        <v>10</v>
      </c>
      <c r="AR12">
        <v>2</v>
      </c>
      <c r="AS12">
        <v>3</v>
      </c>
      <c r="AT12">
        <v>3</v>
      </c>
      <c r="AU12">
        <v>4</v>
      </c>
      <c r="AV12">
        <v>4</v>
      </c>
      <c r="AW12">
        <v>1</v>
      </c>
      <c r="AX12">
        <v>3</v>
      </c>
      <c r="AY12">
        <v>4</v>
      </c>
      <c r="AZ12">
        <v>2</v>
      </c>
      <c r="BA12">
        <v>4</v>
      </c>
      <c r="BB12">
        <v>75</v>
      </c>
      <c r="BC12">
        <v>0</v>
      </c>
      <c r="BD12">
        <v>55</v>
      </c>
      <c r="BE12">
        <v>45</v>
      </c>
      <c r="BF12">
        <v>60</v>
      </c>
      <c r="BG12">
        <v>65</v>
      </c>
      <c r="BH12">
        <f t="shared" si="4"/>
        <v>45</v>
      </c>
      <c r="BI12">
        <f t="shared" si="5"/>
        <v>50</v>
      </c>
    </row>
    <row r="13" spans="1:61" x14ac:dyDescent="0.2">
      <c r="A13" s="2">
        <v>11</v>
      </c>
      <c r="B13">
        <v>5</v>
      </c>
      <c r="C13">
        <v>1</v>
      </c>
      <c r="D13">
        <v>5</v>
      </c>
      <c r="E13">
        <v>1</v>
      </c>
      <c r="F13">
        <v>5</v>
      </c>
      <c r="G13">
        <v>1</v>
      </c>
      <c r="H13">
        <v>5</v>
      </c>
      <c r="I13">
        <v>1</v>
      </c>
      <c r="J13">
        <v>5</v>
      </c>
      <c r="K13">
        <v>1</v>
      </c>
      <c r="L13">
        <v>20</v>
      </c>
      <c r="M13">
        <v>10</v>
      </c>
      <c r="N13">
        <v>10</v>
      </c>
      <c r="O13">
        <v>0</v>
      </c>
      <c r="P13">
        <v>0</v>
      </c>
      <c r="Q13">
        <v>0</v>
      </c>
      <c r="R13">
        <f t="shared" si="0"/>
        <v>100</v>
      </c>
      <c r="S13">
        <f t="shared" si="1"/>
        <v>6.666666666666667</v>
      </c>
      <c r="V13" s="2">
        <v>11</v>
      </c>
      <c r="W13">
        <v>3</v>
      </c>
      <c r="X13">
        <v>1</v>
      </c>
      <c r="Y13">
        <v>4</v>
      </c>
      <c r="Z13">
        <v>2</v>
      </c>
      <c r="AA13">
        <v>5</v>
      </c>
      <c r="AB13">
        <v>2</v>
      </c>
      <c r="AC13">
        <v>4</v>
      </c>
      <c r="AD13">
        <v>1</v>
      </c>
      <c r="AE13">
        <v>3</v>
      </c>
      <c r="AF13">
        <v>3</v>
      </c>
      <c r="AG13">
        <v>40</v>
      </c>
      <c r="AH13">
        <v>0</v>
      </c>
      <c r="AI13">
        <v>25</v>
      </c>
      <c r="AJ13">
        <v>20</v>
      </c>
      <c r="AK13">
        <v>70</v>
      </c>
      <c r="AL13">
        <v>50</v>
      </c>
      <c r="AM13">
        <f t="shared" si="2"/>
        <v>75</v>
      </c>
      <c r="AN13">
        <f t="shared" si="3"/>
        <v>34.166666666666664</v>
      </c>
      <c r="AQ13" s="2">
        <v>11</v>
      </c>
      <c r="AR13">
        <v>3</v>
      </c>
      <c r="AS13">
        <v>1</v>
      </c>
      <c r="AT13">
        <v>4</v>
      </c>
      <c r="AU13">
        <v>3</v>
      </c>
      <c r="AV13">
        <v>5</v>
      </c>
      <c r="AW13">
        <v>1</v>
      </c>
      <c r="AX13">
        <v>4</v>
      </c>
      <c r="AY13">
        <v>1</v>
      </c>
      <c r="AZ13">
        <v>4</v>
      </c>
      <c r="BA13">
        <v>2</v>
      </c>
      <c r="BB13">
        <v>40</v>
      </c>
      <c r="BC13">
        <v>0</v>
      </c>
      <c r="BD13">
        <v>25</v>
      </c>
      <c r="BE13">
        <v>20</v>
      </c>
      <c r="BF13">
        <v>70</v>
      </c>
      <c r="BG13">
        <v>30</v>
      </c>
      <c r="BH13">
        <f t="shared" si="4"/>
        <v>80</v>
      </c>
      <c r="BI13">
        <f t="shared" si="5"/>
        <v>30.833333333333332</v>
      </c>
    </row>
    <row r="14" spans="1:61" x14ac:dyDescent="0.2">
      <c r="A14" s="2">
        <v>12</v>
      </c>
      <c r="B14">
        <v>5</v>
      </c>
      <c r="C14">
        <v>2</v>
      </c>
      <c r="D14">
        <v>5</v>
      </c>
      <c r="E14">
        <v>1</v>
      </c>
      <c r="F14">
        <v>5</v>
      </c>
      <c r="G14">
        <v>2</v>
      </c>
      <c r="H14">
        <v>4</v>
      </c>
      <c r="I14">
        <v>2</v>
      </c>
      <c r="J14">
        <v>5</v>
      </c>
      <c r="K14">
        <v>1</v>
      </c>
      <c r="L14">
        <v>20</v>
      </c>
      <c r="M14">
        <v>5</v>
      </c>
      <c r="N14">
        <v>5</v>
      </c>
      <c r="O14">
        <v>35</v>
      </c>
      <c r="P14">
        <v>20</v>
      </c>
      <c r="Q14">
        <v>20</v>
      </c>
      <c r="R14">
        <f t="shared" si="0"/>
        <v>90</v>
      </c>
      <c r="S14">
        <f t="shared" si="1"/>
        <v>17.5</v>
      </c>
      <c r="V14" s="2">
        <v>12</v>
      </c>
      <c r="W14">
        <v>2</v>
      </c>
      <c r="X14">
        <v>2</v>
      </c>
      <c r="Y14">
        <v>3</v>
      </c>
      <c r="Z14">
        <v>1</v>
      </c>
      <c r="AA14">
        <v>5</v>
      </c>
      <c r="AB14">
        <v>1</v>
      </c>
      <c r="AC14">
        <v>4</v>
      </c>
      <c r="AD14">
        <v>3</v>
      </c>
      <c r="AE14">
        <v>3</v>
      </c>
      <c r="AF14">
        <v>2</v>
      </c>
      <c r="AG14">
        <v>40</v>
      </c>
      <c r="AH14">
        <v>30</v>
      </c>
      <c r="AI14">
        <v>25</v>
      </c>
      <c r="AJ14">
        <v>45</v>
      </c>
      <c r="AK14">
        <v>45</v>
      </c>
      <c r="AL14">
        <v>45</v>
      </c>
      <c r="AM14">
        <f t="shared" si="2"/>
        <v>70</v>
      </c>
      <c r="AN14">
        <f t="shared" si="3"/>
        <v>38.333333333333336</v>
      </c>
      <c r="AQ14" s="2">
        <v>12</v>
      </c>
      <c r="AR14">
        <v>2</v>
      </c>
      <c r="AS14">
        <v>1</v>
      </c>
      <c r="AT14">
        <v>3</v>
      </c>
      <c r="AU14">
        <v>2</v>
      </c>
      <c r="AV14">
        <v>4</v>
      </c>
      <c r="AW14">
        <v>2</v>
      </c>
      <c r="AX14">
        <v>4</v>
      </c>
      <c r="AY14">
        <v>3</v>
      </c>
      <c r="AZ14">
        <v>4</v>
      </c>
      <c r="BA14">
        <v>2</v>
      </c>
      <c r="BB14">
        <v>55</v>
      </c>
      <c r="BC14">
        <v>50</v>
      </c>
      <c r="BD14">
        <v>15</v>
      </c>
      <c r="BE14">
        <v>35</v>
      </c>
      <c r="BF14">
        <v>30</v>
      </c>
      <c r="BG14">
        <v>45</v>
      </c>
      <c r="BH14">
        <f t="shared" si="4"/>
        <v>67.5</v>
      </c>
      <c r="BI14">
        <f t="shared" si="5"/>
        <v>38.333333333333336</v>
      </c>
    </row>
    <row r="15" spans="1:61" x14ac:dyDescent="0.2">
      <c r="A15" s="2">
        <v>13</v>
      </c>
      <c r="B15">
        <v>4</v>
      </c>
      <c r="C15">
        <v>2</v>
      </c>
      <c r="D15">
        <v>4</v>
      </c>
      <c r="E15">
        <v>1</v>
      </c>
      <c r="F15">
        <v>4</v>
      </c>
      <c r="G15">
        <v>1</v>
      </c>
      <c r="H15">
        <v>4</v>
      </c>
      <c r="I15">
        <v>1</v>
      </c>
      <c r="J15">
        <v>5</v>
      </c>
      <c r="K15">
        <v>1</v>
      </c>
      <c r="L15">
        <v>0</v>
      </c>
      <c r="M15">
        <v>50</v>
      </c>
      <c r="N15">
        <v>0</v>
      </c>
      <c r="O15">
        <v>10</v>
      </c>
      <c r="P15">
        <v>0</v>
      </c>
      <c r="Q15">
        <v>10</v>
      </c>
      <c r="R15">
        <f t="shared" si="0"/>
        <v>87.5</v>
      </c>
      <c r="S15">
        <f t="shared" si="1"/>
        <v>11.666666666666666</v>
      </c>
      <c r="V15" s="2">
        <v>13</v>
      </c>
      <c r="W15">
        <v>4</v>
      </c>
      <c r="X15">
        <v>2</v>
      </c>
      <c r="Y15">
        <v>4</v>
      </c>
      <c r="Z15">
        <v>2</v>
      </c>
      <c r="AA15">
        <v>4</v>
      </c>
      <c r="AB15">
        <v>4</v>
      </c>
      <c r="AC15">
        <v>5</v>
      </c>
      <c r="AD15">
        <v>3</v>
      </c>
      <c r="AE15">
        <v>3</v>
      </c>
      <c r="AF15">
        <v>2</v>
      </c>
      <c r="AG15">
        <v>50</v>
      </c>
      <c r="AH15">
        <v>10</v>
      </c>
      <c r="AI15">
        <v>55</v>
      </c>
      <c r="AJ15">
        <v>80</v>
      </c>
      <c r="AK15">
        <v>50</v>
      </c>
      <c r="AL15">
        <v>90</v>
      </c>
      <c r="AM15">
        <f t="shared" si="2"/>
        <v>67.5</v>
      </c>
      <c r="AN15">
        <f t="shared" si="3"/>
        <v>55.833333333333336</v>
      </c>
      <c r="AQ15" s="2">
        <v>13</v>
      </c>
      <c r="AR15">
        <v>4</v>
      </c>
      <c r="AS15">
        <v>3</v>
      </c>
      <c r="AT15">
        <v>4</v>
      </c>
      <c r="AU15">
        <v>1</v>
      </c>
      <c r="AV15">
        <v>3</v>
      </c>
      <c r="AW15">
        <v>4</v>
      </c>
      <c r="AX15">
        <v>5</v>
      </c>
      <c r="AY15">
        <v>3</v>
      </c>
      <c r="AZ15">
        <v>5</v>
      </c>
      <c r="BA15">
        <v>2</v>
      </c>
      <c r="BB15">
        <v>50</v>
      </c>
      <c r="BC15">
        <v>20</v>
      </c>
      <c r="BD15">
        <v>50</v>
      </c>
      <c r="BE15">
        <v>70</v>
      </c>
      <c r="BF15">
        <v>70</v>
      </c>
      <c r="BG15">
        <v>70</v>
      </c>
      <c r="BH15">
        <f t="shared" si="4"/>
        <v>70</v>
      </c>
      <c r="BI15">
        <f t="shared" si="5"/>
        <v>55</v>
      </c>
    </row>
    <row r="16" spans="1:61" x14ac:dyDescent="0.2">
      <c r="A16" s="2">
        <v>14</v>
      </c>
      <c r="B16">
        <v>4</v>
      </c>
      <c r="C16">
        <v>2</v>
      </c>
      <c r="D16">
        <v>4</v>
      </c>
      <c r="E16">
        <v>1</v>
      </c>
      <c r="F16">
        <v>4</v>
      </c>
      <c r="G16">
        <v>1</v>
      </c>
      <c r="H16">
        <v>4</v>
      </c>
      <c r="I16">
        <v>2</v>
      </c>
      <c r="J16">
        <v>4</v>
      </c>
      <c r="K16">
        <v>2</v>
      </c>
      <c r="L16">
        <v>15</v>
      </c>
      <c r="M16">
        <v>5</v>
      </c>
      <c r="N16">
        <v>10</v>
      </c>
      <c r="O16">
        <v>10</v>
      </c>
      <c r="P16">
        <v>10</v>
      </c>
      <c r="Q16">
        <v>15</v>
      </c>
      <c r="R16">
        <f t="shared" si="0"/>
        <v>80</v>
      </c>
      <c r="S16">
        <f t="shared" si="1"/>
        <v>10.833333333333334</v>
      </c>
      <c r="V16" s="2">
        <v>14</v>
      </c>
      <c r="W16">
        <v>1</v>
      </c>
      <c r="X16">
        <v>4</v>
      </c>
      <c r="Y16">
        <v>1</v>
      </c>
      <c r="Z16">
        <v>3</v>
      </c>
      <c r="AA16">
        <v>2</v>
      </c>
      <c r="AB16">
        <v>3</v>
      </c>
      <c r="AC16">
        <v>3</v>
      </c>
      <c r="AD16">
        <v>5</v>
      </c>
      <c r="AE16">
        <v>2</v>
      </c>
      <c r="AF16">
        <v>3</v>
      </c>
      <c r="AG16">
        <v>50</v>
      </c>
      <c r="AH16">
        <v>10</v>
      </c>
      <c r="AI16">
        <v>20</v>
      </c>
      <c r="AJ16">
        <v>70</v>
      </c>
      <c r="AK16">
        <v>70</v>
      </c>
      <c r="AL16">
        <v>80</v>
      </c>
      <c r="AM16">
        <f t="shared" si="2"/>
        <v>27.5</v>
      </c>
      <c r="AN16">
        <f t="shared" si="3"/>
        <v>50</v>
      </c>
      <c r="AQ16" s="2">
        <v>14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2</v>
      </c>
      <c r="AX16">
        <v>3</v>
      </c>
      <c r="AY16">
        <v>4</v>
      </c>
      <c r="AZ16">
        <v>3</v>
      </c>
      <c r="BA16">
        <v>3</v>
      </c>
      <c r="BB16">
        <v>40</v>
      </c>
      <c r="BC16">
        <v>20</v>
      </c>
      <c r="BD16">
        <v>40</v>
      </c>
      <c r="BE16">
        <v>50</v>
      </c>
      <c r="BF16">
        <v>70</v>
      </c>
      <c r="BG16">
        <v>75</v>
      </c>
      <c r="BH16">
        <f t="shared" si="4"/>
        <v>50</v>
      </c>
      <c r="BI16">
        <f t="shared" si="5"/>
        <v>49.166666666666664</v>
      </c>
    </row>
    <row r="17" spans="1:61" x14ac:dyDescent="0.2">
      <c r="A17" s="2">
        <v>15</v>
      </c>
      <c r="B17">
        <v>5</v>
      </c>
      <c r="C17">
        <v>1</v>
      </c>
      <c r="D17">
        <v>5</v>
      </c>
      <c r="E17">
        <v>2</v>
      </c>
      <c r="F17">
        <v>5</v>
      </c>
      <c r="G17">
        <v>2</v>
      </c>
      <c r="H17">
        <v>3</v>
      </c>
      <c r="I17">
        <v>2</v>
      </c>
      <c r="J17">
        <v>5</v>
      </c>
      <c r="K17">
        <v>4</v>
      </c>
      <c r="L17">
        <v>0</v>
      </c>
      <c r="M17">
        <v>20</v>
      </c>
      <c r="N17">
        <v>0</v>
      </c>
      <c r="O17">
        <v>0</v>
      </c>
      <c r="P17">
        <v>20</v>
      </c>
      <c r="Q17">
        <v>0</v>
      </c>
      <c r="R17">
        <f t="shared" si="0"/>
        <v>80</v>
      </c>
      <c r="S17">
        <f t="shared" si="1"/>
        <v>6.666666666666667</v>
      </c>
      <c r="V17" s="2">
        <v>15</v>
      </c>
      <c r="W17">
        <v>2</v>
      </c>
      <c r="X17">
        <v>3</v>
      </c>
      <c r="Y17">
        <v>4</v>
      </c>
      <c r="Z17">
        <v>3</v>
      </c>
      <c r="AA17">
        <v>2</v>
      </c>
      <c r="AB17">
        <v>2</v>
      </c>
      <c r="AC17">
        <v>4</v>
      </c>
      <c r="AD17">
        <v>4</v>
      </c>
      <c r="AE17">
        <v>4</v>
      </c>
      <c r="AF17">
        <v>4</v>
      </c>
      <c r="AG17">
        <v>60</v>
      </c>
      <c r="AH17">
        <v>0</v>
      </c>
      <c r="AI17">
        <v>60</v>
      </c>
      <c r="AJ17">
        <v>50</v>
      </c>
      <c r="AK17">
        <v>75</v>
      </c>
      <c r="AL17">
        <v>65</v>
      </c>
      <c r="AM17">
        <f t="shared" si="2"/>
        <v>50</v>
      </c>
      <c r="AN17">
        <f t="shared" si="3"/>
        <v>51.666666666666664</v>
      </c>
      <c r="AQ17" s="2">
        <v>15</v>
      </c>
      <c r="AR17">
        <v>3</v>
      </c>
      <c r="AS17">
        <v>1</v>
      </c>
      <c r="AT17">
        <v>4</v>
      </c>
      <c r="AU17">
        <v>3</v>
      </c>
      <c r="AV17">
        <v>5</v>
      </c>
      <c r="AW17">
        <v>1</v>
      </c>
      <c r="AX17">
        <v>2</v>
      </c>
      <c r="AY17">
        <v>3</v>
      </c>
      <c r="AZ17">
        <v>4</v>
      </c>
      <c r="BA17">
        <v>2</v>
      </c>
      <c r="BB17">
        <v>20</v>
      </c>
      <c r="BC17">
        <v>0</v>
      </c>
      <c r="BD17">
        <v>50</v>
      </c>
      <c r="BE17">
        <v>20</v>
      </c>
      <c r="BF17">
        <v>50</v>
      </c>
      <c r="BG17">
        <v>65</v>
      </c>
      <c r="BH17">
        <f t="shared" si="4"/>
        <v>70</v>
      </c>
      <c r="BI17">
        <f t="shared" si="5"/>
        <v>34.166666666666664</v>
      </c>
    </row>
    <row r="19" spans="1:61" x14ac:dyDescent="0.2">
      <c r="A19" s="1" t="s">
        <v>22</v>
      </c>
      <c r="R19">
        <f>IFERROR(AVERAGE(R3:R17),"")</f>
        <v>88.5</v>
      </c>
      <c r="S19">
        <f>IFERROR(AVERAGE(S3:S17),"")</f>
        <v>11.722222222222221</v>
      </c>
      <c r="V19" s="1" t="s">
        <v>22</v>
      </c>
      <c r="AM19">
        <f>IFERROR(AVERAGE(AM3:AM17),"")</f>
        <v>47.833333333333336</v>
      </c>
      <c r="AN19">
        <f>IFERROR(AVERAGE(AN3:AN17),"")</f>
        <v>52.277777777777779</v>
      </c>
      <c r="AQ19" s="1" t="s">
        <v>22</v>
      </c>
      <c r="BH19">
        <f>IFERROR(AVERAGE(BH3:BH17),"")</f>
        <v>61.666666666666664</v>
      </c>
      <c r="BI19">
        <f>IFERROR(AVERAGE(BI3:BI17),"")</f>
        <v>41.388888888888886</v>
      </c>
    </row>
    <row r="20" spans="1:61" x14ac:dyDescent="0.2">
      <c r="A20" s="1" t="s">
        <v>23</v>
      </c>
      <c r="R20">
        <f>IFERROR(STDEV(R3:R17),"")</f>
        <v>9.8561076060916228</v>
      </c>
      <c r="S20">
        <f>IFERROR(STDEV(S3:S17),"")</f>
        <v>9.5663237591328834</v>
      </c>
      <c r="V20" s="1" t="s">
        <v>23</v>
      </c>
      <c r="AM20">
        <f>IFERROR(STDEV(AM3:AM17),"")</f>
        <v>19.659300476825095</v>
      </c>
      <c r="AN20">
        <f>IFERROR(STDEV(AN3:AN17),"")</f>
        <v>11.084392478334413</v>
      </c>
      <c r="AQ20" s="1" t="s">
        <v>23</v>
      </c>
      <c r="BH20">
        <f>IFERROR(STDEV(BH3:BH17),"")</f>
        <v>13.747294106044848</v>
      </c>
      <c r="BI20">
        <f>IFERROR(STDEV(BI3:BI17),"")</f>
        <v>12.742359470197238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zoomScaleNormal="100" workbookViewId="0">
      <selection activeCell="B7" sqref="B7"/>
    </sheetView>
  </sheetViews>
  <sheetFormatPr baseColWidth="10" defaultColWidth="8.6640625" defaultRowHeight="15" x14ac:dyDescent="0.2"/>
  <cols>
    <col min="1" max="8" width="14" customWidth="1"/>
  </cols>
  <sheetData>
    <row r="1" spans="1:8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s="2" t="s">
        <v>0</v>
      </c>
      <c r="B2" s="2">
        <f>COUNTA(Data!R3:R17)</f>
        <v>15</v>
      </c>
      <c r="C2" s="2">
        <f>Data!R19</f>
        <v>88.5</v>
      </c>
      <c r="D2" s="2">
        <f>Data!R20</f>
        <v>9.8561076060916228</v>
      </c>
      <c r="E2" s="2">
        <f>Data!S19</f>
        <v>11.722222222222221</v>
      </c>
      <c r="F2" s="2">
        <f>Data!S20</f>
        <v>9.5663237591328834</v>
      </c>
      <c r="G2" s="2">
        <f>C2/100</f>
        <v>0.88500000000000001</v>
      </c>
      <c r="H2" s="2">
        <f>(100-E2)/100</f>
        <v>0.88277777777777766</v>
      </c>
    </row>
    <row r="3" spans="1:8" x14ac:dyDescent="0.2">
      <c r="A3" s="2" t="s">
        <v>2</v>
      </c>
      <c r="B3" s="2">
        <f>COUNTA(Data!BH3:BH17)</f>
        <v>15</v>
      </c>
      <c r="C3" s="2">
        <f>Data!BH19</f>
        <v>61.666666666666664</v>
      </c>
      <c r="D3" s="2">
        <f>Data!BH20</f>
        <v>13.747294106044848</v>
      </c>
      <c r="E3" s="2">
        <f>Data!BI19</f>
        <v>41.388888888888886</v>
      </c>
      <c r="F3" s="2">
        <f>Data!BI20</f>
        <v>12.742359470197238</v>
      </c>
      <c r="G3" s="2">
        <f>C3/100</f>
        <v>0.6166666666666667</v>
      </c>
      <c r="H3" s="2">
        <f>(100-E3)/100</f>
        <v>0.58611111111111114</v>
      </c>
    </row>
    <row r="4" spans="1:8" x14ac:dyDescent="0.2">
      <c r="A4" s="2" t="s">
        <v>1</v>
      </c>
      <c r="B4" s="2">
        <f>COUNTA(Data!AM3:AM17)</f>
        <v>15</v>
      </c>
      <c r="C4" s="2">
        <f>Data!AM19</f>
        <v>47.833333333333336</v>
      </c>
      <c r="D4" s="2">
        <f>Data!AM20</f>
        <v>19.659300476825095</v>
      </c>
      <c r="E4" s="2">
        <f>Data!AN19</f>
        <v>52.277777777777779</v>
      </c>
      <c r="F4" s="2">
        <f>Data!AN20</f>
        <v>11.084392478334413</v>
      </c>
      <c r="G4" s="2">
        <f>C4/100</f>
        <v>0.47833333333333333</v>
      </c>
      <c r="H4" s="2">
        <f>(100-E4)/100</f>
        <v>0.47722222222222221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Talbot, Marci</cp:lastModifiedBy>
  <cp:revision>0</cp:revision>
  <dcterms:created xsi:type="dcterms:W3CDTF">2026-06-22T22:37:31Z</dcterms:created>
  <dcterms:modified xsi:type="dcterms:W3CDTF">2026-06-22T23:32:17Z</dcterms:modified>
  <dc:language>en-US</dc:language>
</cp:coreProperties>
</file>