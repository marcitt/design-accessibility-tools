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0" yWindow="760" windowWidth="25420" windowHeight="17460" tabRatio="600" firstSheet="0" activeTab="0" autoFilterDateGrouping="1"/>
  </bookViews>
  <sheets>
    <sheet xmlns:r="http://schemas.openxmlformats.org/officeDocument/2006/relationships" name="Sheet1" sheetId="1" state="visible" r:id="rId1"/>
    <sheet xmlns:r="http://schemas.openxmlformats.org/officeDocument/2006/relationships" name="_lists" sheetId="2" state="hidden"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Aptos Narrow"/>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2" fontId="1"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0"/>
  <sheetViews>
    <sheetView tabSelected="1" zoomScale="75" zoomScaleNormal="68" workbookViewId="0">
      <selection activeCell="U2" sqref="U2"/>
    </sheetView>
  </sheetViews>
  <sheetFormatPr baseColWidth="10" defaultColWidth="8.83203125" defaultRowHeight="15"/>
  <cols>
    <col width="7" customWidth="1" min="1" max="1"/>
    <col width="6" bestFit="1" customWidth="1" min="2" max="2"/>
    <col width="6.6640625" customWidth="1" min="3" max="3"/>
    <col width="8" customWidth="1" style="3" min="4" max="4"/>
    <col width="8" customWidth="1" min="5" max="5"/>
    <col width="10.83203125" bestFit="1" customWidth="1" min="6" max="6"/>
    <col width="6.6640625" bestFit="1" customWidth="1" min="7" max="7"/>
    <col width="33" bestFit="1" customWidth="1" min="8" max="8"/>
    <col width="12.83203125" bestFit="1" customWidth="1" min="9" max="9"/>
    <col width="13.33203125" bestFit="1" customWidth="1" min="10" max="10"/>
    <col width="13.6640625" bestFit="1" customWidth="1" min="11" max="11"/>
    <col width="15" customWidth="1" min="12" max="12"/>
    <col width="8.1640625" bestFit="1" customWidth="1" min="13" max="13"/>
    <col width="6.33203125" bestFit="1" customWidth="1" min="14" max="14"/>
    <col width="13.33203125" bestFit="1" customWidth="1" min="15" max="15"/>
    <col width="12.6640625" bestFit="1" customWidth="1" min="16" max="16"/>
    <col width="8.6640625" bestFit="1" customWidth="1" min="17" max="17"/>
    <col width="12.83203125" bestFit="1" customWidth="1" style="3" min="18" max="18"/>
    <col width="22.6640625" bestFit="1" customWidth="1" min="19" max="19"/>
    <col width="17.6640625" bestFit="1" customWidth="1" min="20" max="21"/>
  </cols>
  <sheetData>
    <row r="1" ht="16" customHeight="1">
      <c r="A1" s="1" t="inlineStr">
        <is>
          <t>Title</t>
        </is>
      </c>
      <c r="B1" s="1" t="inlineStr">
        <is>
          <t>video</t>
        </is>
      </c>
      <c r="C1" s="1" t="inlineStr">
        <is>
          <t>sample</t>
        </is>
      </c>
      <c r="D1" s="2" t="inlineStr">
        <is>
          <t>start</t>
        </is>
      </c>
      <c r="E1" s="1" t="inlineStr">
        <is>
          <t>end</t>
        </is>
      </c>
      <c r="F1" s="1" t="inlineStr">
        <is>
          <t>initial_code</t>
        </is>
      </c>
      <c r="G1" s="1" t="inlineStr">
        <is>
          <t>action</t>
        </is>
      </c>
      <c r="H1" s="1" t="inlineStr">
        <is>
          <t>difficulty_with_existing_speech_tools</t>
        </is>
      </c>
      <c r="I1" s="1" t="inlineStr">
        <is>
          <t>tag_primary</t>
        </is>
      </c>
      <c r="J1" s="1" t="inlineStr">
        <is>
          <t>tag_secondary</t>
        </is>
      </c>
      <c r="K1" s="1" t="inlineStr">
        <is>
          <t>how_primary</t>
        </is>
      </c>
      <c r="L1" s="1" t="inlineStr">
        <is>
          <t>how_secondary</t>
        </is>
      </c>
      <c r="M1" s="1" t="inlineStr">
        <is>
          <t>location</t>
        </is>
      </c>
      <c r="N1" s="1" t="inlineStr">
        <is>
          <t>intent</t>
        </is>
      </c>
      <c r="O1" s="1" t="inlineStr">
        <is>
          <t>adjusted_start</t>
        </is>
      </c>
      <c r="P1" s="1" t="inlineStr">
        <is>
          <t>adjusted_end</t>
        </is>
      </c>
      <c r="Q1" s="1" t="inlineStr">
        <is>
          <t>duration</t>
        </is>
      </c>
      <c r="R1" s="1" t="inlineStr">
        <is>
          <t>true_duration</t>
        </is>
      </c>
      <c r="S1" s="2" t="inlineStr">
        <is>
          <t>true_duration_unlabelled</t>
        </is>
      </c>
      <c r="T1" s="1" t="inlineStr">
        <is>
          <t>estimated_duration</t>
        </is>
      </c>
      <c r="U1" s="1" t="inlineStr">
        <is>
          <t>insights_and_notes</t>
        </is>
      </c>
    </row>
    <row r="2" ht="16" customHeight="1">
      <c r="O2">
        <f>(INT(D2)*60+(D2-INT(D2))*100)-(INT($D$2)*60+($D$2-INT($D$2))*100)</f>
        <v/>
      </c>
      <c r="P2">
        <f>(INT(E2)*60+(E2-INT(E2))*100)-(INT($D$2)*60+($D$2-INT($D$2))*100)</f>
        <v/>
      </c>
      <c r="Q2">
        <f>P2-O2</f>
        <v/>
      </c>
      <c r="R2">
        <f>IF(Q2=0,"&lt;1 second","&lt;"&amp;(ROUND(Q2,2)+1)&amp;" seconds")</f>
        <v/>
      </c>
      <c r="S2">
        <f>Q2+1</f>
        <v/>
      </c>
      <c r="T2">
        <f>Q2+0.5</f>
        <v/>
      </c>
    </row>
    <row r="3" ht="16" customHeight="1">
      <c r="O3">
        <f>(INT(D3)*60+(D3-INT(D3))*100)-(INT($D$2)*60+($D$2-INT($D$2))*100)</f>
        <v/>
      </c>
      <c r="P3">
        <f>(INT(E3)*60+(E3-INT(E3))*100)-(INT($D$2)*60+($D$2-INT($D$2))*100)</f>
        <v/>
      </c>
      <c r="Q3">
        <f>P3-O3</f>
        <v/>
      </c>
      <c r="R3">
        <f>IF(Q3=0,"&lt;1 second","&lt;"&amp;(ROUND(Q3,2)+1)&amp;" seconds")</f>
        <v/>
      </c>
      <c r="S3">
        <f>Q3+1</f>
        <v/>
      </c>
      <c r="T3">
        <f>Q3+0.5</f>
        <v/>
      </c>
    </row>
    <row r="4" ht="16" customHeight="1">
      <c r="O4">
        <f>(INT(D4)*60+(D4-INT(D4))*100)-(INT($D$2)*60+($D$2-INT($D$2))*100)</f>
        <v/>
      </c>
      <c r="P4">
        <f>(INT(E4)*60+(E4-INT(E4))*100)-(INT($D$2)*60+($D$2-INT($D$2))*100)</f>
        <v/>
      </c>
      <c r="Q4">
        <f>P4-O4</f>
        <v/>
      </c>
      <c r="R4">
        <f>IF(Q4=0,"&lt;1 second","&lt;"&amp;(ROUND(Q4,2)+1)&amp;" seconds")</f>
        <v/>
      </c>
      <c r="S4">
        <f>Q4+1</f>
        <v/>
      </c>
      <c r="T4">
        <f>Q4+0.5</f>
        <v/>
      </c>
    </row>
    <row r="5" ht="16" customHeight="1">
      <c r="O5">
        <f>(INT(D5)*60+(D5-INT(D5))*100)-(INT($D$2)*60+($D$2-INT($D$2))*100)</f>
        <v/>
      </c>
      <c r="P5">
        <f>(INT(E5)*60+(E5-INT(E5))*100)-(INT($D$2)*60+($D$2-INT($D$2))*100)</f>
        <v/>
      </c>
      <c r="Q5">
        <f>P5-O5</f>
        <v/>
      </c>
      <c r="R5">
        <f>IF(Q5=0,"&lt;1 second","&lt;"&amp;(ROUND(Q5,2)+1)&amp;" seconds")</f>
        <v/>
      </c>
      <c r="S5">
        <f>Q5+1</f>
        <v/>
      </c>
      <c r="T5">
        <f>Q5+0.5</f>
        <v/>
      </c>
    </row>
    <row r="6" ht="16" customHeight="1">
      <c r="O6">
        <f>(INT(D6)*60+(D6-INT(D6))*100)-(INT($D$2)*60+($D$2-INT($D$2))*100)</f>
        <v/>
      </c>
      <c r="P6">
        <f>(INT(E6)*60+(E6-INT(E6))*100)-(INT($D$2)*60+($D$2-INT($D$2))*100)</f>
        <v/>
      </c>
      <c r="Q6">
        <f>P6-O6</f>
        <v/>
      </c>
      <c r="R6">
        <f>IF(Q6=0,"&lt;1 second","&lt;"&amp;(ROUND(Q6,2)+1)&amp;" seconds")</f>
        <v/>
      </c>
      <c r="S6">
        <f>Q6+1</f>
        <v/>
      </c>
      <c r="T6">
        <f>Q6+0.5</f>
        <v/>
      </c>
    </row>
    <row r="7" ht="16" customHeight="1">
      <c r="O7">
        <f>(INT(D7)*60+(D7-INT(D7))*100)-(INT($D$2)*60+($D$2-INT($D$2))*100)</f>
        <v/>
      </c>
      <c r="P7">
        <f>(INT(E7)*60+(E7-INT(E7))*100)-(INT($D$2)*60+($D$2-INT($D$2))*100)</f>
        <v/>
      </c>
      <c r="Q7">
        <f>P7-O7</f>
        <v/>
      </c>
      <c r="R7">
        <f>IF(Q7=0,"&lt;1 second","&lt;"&amp;(ROUND(Q7,2)+1)&amp;" seconds")</f>
        <v/>
      </c>
      <c r="S7">
        <f>Q7+1</f>
        <v/>
      </c>
      <c r="T7">
        <f>Q7+0.5</f>
        <v/>
      </c>
    </row>
    <row r="8" ht="16" customHeight="1">
      <c r="O8">
        <f>(INT(D8)*60+(D8-INT(D8))*100)-(INT($D$2)*60+($D$2-INT($D$2))*100)</f>
        <v/>
      </c>
      <c r="P8">
        <f>(INT(E8)*60+(E8-INT(E8))*100)-(INT($D$2)*60+($D$2-INT($D$2))*100)</f>
        <v/>
      </c>
      <c r="Q8">
        <f>P8-O8</f>
        <v/>
      </c>
      <c r="R8">
        <f>IF(Q8=0,"&lt;1 second","&lt;"&amp;(ROUND(Q8,2)+1)&amp;" seconds")</f>
        <v/>
      </c>
      <c r="S8">
        <f>Q8+1</f>
        <v/>
      </c>
      <c r="T8">
        <f>Q8+0.5</f>
        <v/>
      </c>
    </row>
    <row r="9" ht="16" customHeight="1">
      <c r="O9">
        <f>(INT(D9)*60+(D9-INT(D9))*100)-(INT($D$2)*60+($D$2-INT($D$2))*100)</f>
        <v/>
      </c>
      <c r="P9">
        <f>(INT(E9)*60+(E9-INT(E9))*100)-(INT($D$2)*60+($D$2-INT($D$2))*100)</f>
        <v/>
      </c>
      <c r="Q9">
        <f>P9-O9</f>
        <v/>
      </c>
      <c r="R9">
        <f>IF(Q9=0,"&lt;1 second","&lt;"&amp;(ROUND(Q9,2)+1)&amp;" seconds")</f>
        <v/>
      </c>
      <c r="S9">
        <f>Q9+1</f>
        <v/>
      </c>
      <c r="T9">
        <f>Q9+0.5</f>
        <v/>
      </c>
    </row>
    <row r="10" ht="16" customHeight="1">
      <c r="O10">
        <f>(INT(D10)*60+(D10-INT(D10))*100)-(INT($D$2)*60+($D$2-INT($D$2))*100)</f>
        <v/>
      </c>
      <c r="P10">
        <f>(INT(E10)*60+(E10-INT(E10))*100)-(INT($D$2)*60+($D$2-INT($D$2))*100)</f>
        <v/>
      </c>
      <c r="Q10">
        <f>P10-O10</f>
        <v/>
      </c>
      <c r="R10">
        <f>IF(Q10=0,"&lt;1 second","&lt;"&amp;(ROUND(Q10,2)+1)&amp;" seconds")</f>
        <v/>
      </c>
      <c r="S10">
        <f>Q10+1</f>
        <v/>
      </c>
      <c r="T10">
        <f>Q10+0.5</f>
        <v/>
      </c>
    </row>
    <row r="11" ht="16" customHeight="1">
      <c r="O11">
        <f>(INT(D11)*60+(D11-INT(D11))*100)-(INT($D$2)*60+($D$2-INT($D$2))*100)</f>
        <v/>
      </c>
      <c r="P11">
        <f>(INT(E11)*60+(E11-INT(E11))*100)-(INT($D$2)*60+($D$2-INT($D$2))*100)</f>
        <v/>
      </c>
      <c r="Q11">
        <f>P11-O11</f>
        <v/>
      </c>
      <c r="R11">
        <f>IF(Q11=0,"&lt;1 second","&lt;"&amp;(ROUND(Q11,2)+1)&amp;" seconds")</f>
        <v/>
      </c>
      <c r="S11">
        <f>Q11+1</f>
        <v/>
      </c>
      <c r="T11">
        <f>Q11+0.5</f>
        <v/>
      </c>
    </row>
    <row r="12" ht="16" customHeight="1">
      <c r="O12">
        <f>(INT(D12)*60+(D12-INT(D12))*100)-(INT($D$2)*60+($D$2-INT($D$2))*100)</f>
        <v/>
      </c>
      <c r="P12">
        <f>(INT(E12)*60+(E12-INT(E12))*100)-(INT($D$2)*60+($D$2-INT($D$2))*100)</f>
        <v/>
      </c>
      <c r="Q12">
        <f>P12-O12</f>
        <v/>
      </c>
      <c r="R12">
        <f>IF(Q12=0,"&lt;1 second","&lt;"&amp;(ROUND(Q12,2)+1)&amp;" seconds")</f>
        <v/>
      </c>
      <c r="S12">
        <f>Q12+1</f>
        <v/>
      </c>
      <c r="T12">
        <f>Q12+0.5</f>
        <v/>
      </c>
    </row>
    <row r="13" ht="16" customHeight="1">
      <c r="O13">
        <f>(INT(D13)*60+(D13-INT(D13))*100)-(INT($D$2)*60+($D$2-INT($D$2))*100)</f>
        <v/>
      </c>
      <c r="P13">
        <f>(INT(E13)*60+(E13-INT(E13))*100)-(INT($D$2)*60+($D$2-INT($D$2))*100)</f>
        <v/>
      </c>
      <c r="Q13">
        <f>P13-O13</f>
        <v/>
      </c>
      <c r="R13">
        <f>IF(Q13=0,"&lt;1 second","&lt;"&amp;(ROUND(Q13,2)+1)&amp;" seconds")</f>
        <v/>
      </c>
      <c r="S13">
        <f>Q13+1</f>
        <v/>
      </c>
      <c r="T13">
        <f>Q13+0.5</f>
        <v/>
      </c>
    </row>
    <row r="14" ht="16" customHeight="1">
      <c r="O14">
        <f>(INT(D14)*60+(D14-INT(D14))*100)-(INT($D$2)*60+($D$2-INT($D$2))*100)</f>
        <v/>
      </c>
      <c r="P14">
        <f>(INT(E14)*60+(E14-INT(E14))*100)-(INT($D$2)*60+($D$2-INT($D$2))*100)</f>
        <v/>
      </c>
      <c r="Q14">
        <f>P14-O14</f>
        <v/>
      </c>
      <c r="R14">
        <f>IF(Q14=0,"&lt;1 second","&lt;"&amp;(ROUND(Q14,2)+1)&amp;" seconds")</f>
        <v/>
      </c>
      <c r="S14">
        <f>Q14+1</f>
        <v/>
      </c>
      <c r="T14">
        <f>Q14+0.5</f>
        <v/>
      </c>
    </row>
    <row r="15" ht="16" customHeight="1">
      <c r="O15">
        <f>(INT(D15)*60+(D15-INT(D15))*100)-(INT($D$2)*60+($D$2-INT($D$2))*100)</f>
        <v/>
      </c>
      <c r="P15">
        <f>(INT(E15)*60+(E15-INT(E15))*100)-(INT($D$2)*60+($D$2-INT($D$2))*100)</f>
        <v/>
      </c>
      <c r="Q15">
        <f>P15-O15</f>
        <v/>
      </c>
      <c r="R15">
        <f>IF(Q15=0,"&lt;1 second","&lt;"&amp;(ROUND(Q15,2)+1)&amp;" seconds")</f>
        <v/>
      </c>
      <c r="S15">
        <f>Q15+1</f>
        <v/>
      </c>
      <c r="T15">
        <f>Q15+0.5</f>
        <v/>
      </c>
    </row>
    <row r="16" ht="16" customHeight="1">
      <c r="O16">
        <f>(INT(D16)*60+(D16-INT(D16))*100)-(INT($D$2)*60+($D$2-INT($D$2))*100)</f>
        <v/>
      </c>
      <c r="P16">
        <f>(INT(E16)*60+(E16-INT(E16))*100)-(INT($D$2)*60+($D$2-INT($D$2))*100)</f>
        <v/>
      </c>
      <c r="Q16">
        <f>P16-O16</f>
        <v/>
      </c>
      <c r="R16">
        <f>IF(Q16=0,"&lt;1 second","&lt;"&amp;(ROUND(Q16,2)+1)&amp;" seconds")</f>
        <v/>
      </c>
      <c r="S16">
        <f>Q16+1</f>
        <v/>
      </c>
      <c r="T16">
        <f>Q16+0.5</f>
        <v/>
      </c>
    </row>
    <row r="17" ht="16" customHeight="1">
      <c r="O17">
        <f>(INT(D17)*60+(D17-INT(D17))*100)-(INT($D$2)*60+($D$2-INT($D$2))*100)</f>
        <v/>
      </c>
      <c r="P17">
        <f>(INT(E17)*60+(E17-INT(E17))*100)-(INT($D$2)*60+($D$2-INT($D$2))*100)</f>
        <v/>
      </c>
      <c r="Q17">
        <f>P17-O17</f>
        <v/>
      </c>
      <c r="R17">
        <f>IF(Q17=0,"&lt;1 second","&lt;"&amp;(ROUND(Q17,2)+1)&amp;" seconds")</f>
        <v/>
      </c>
      <c r="S17">
        <f>Q17+1</f>
        <v/>
      </c>
      <c r="T17">
        <f>Q17+0.5</f>
        <v/>
      </c>
    </row>
    <row r="18" ht="16" customHeight="1">
      <c r="O18">
        <f>(INT(D18)*60+(D18-INT(D18))*100)-(INT($D$2)*60+($D$2-INT($D$2))*100)</f>
        <v/>
      </c>
      <c r="P18">
        <f>(INT(E18)*60+(E18-INT(E18))*100)-(INT($D$2)*60+($D$2-INT($D$2))*100)</f>
        <v/>
      </c>
      <c r="Q18">
        <f>P18-O18</f>
        <v/>
      </c>
      <c r="R18">
        <f>IF(Q18=0,"&lt;1 second","&lt;"&amp;(ROUND(Q18,2)+1)&amp;" seconds")</f>
        <v/>
      </c>
      <c r="S18">
        <f>Q18+1</f>
        <v/>
      </c>
      <c r="T18">
        <f>Q18+0.5</f>
        <v/>
      </c>
    </row>
    <row r="19" ht="16" customHeight="1">
      <c r="O19">
        <f>(INT(D19)*60+(D19-INT(D19))*100)-(INT($D$2)*60+($D$2-INT($D$2))*100)</f>
        <v/>
      </c>
      <c r="P19">
        <f>(INT(E19)*60+(E19-INT(E19))*100)-(INT($D$2)*60+($D$2-INT($D$2))*100)</f>
        <v/>
      </c>
      <c r="Q19">
        <f>P19-O19</f>
        <v/>
      </c>
      <c r="R19">
        <f>IF(Q19=0,"&lt;1 second","&lt;"&amp;(ROUND(Q19,2)+1)&amp;" seconds")</f>
        <v/>
      </c>
      <c r="S19">
        <f>Q19+1</f>
        <v/>
      </c>
      <c r="T19">
        <f>Q19+0.5</f>
        <v/>
      </c>
    </row>
    <row r="20" ht="16" customHeight="1">
      <c r="O20">
        <f>(INT(D20)*60+(D20-INT(D20))*100)-(INT($D$2)*60+($D$2-INT($D$2))*100)</f>
        <v/>
      </c>
      <c r="P20">
        <f>(INT(E20)*60+(E20-INT(E20))*100)-(INT($D$2)*60+($D$2-INT($D$2))*100)</f>
        <v/>
      </c>
      <c r="Q20">
        <f>P20-O20</f>
        <v/>
      </c>
      <c r="R20">
        <f>IF(Q20=0,"&lt;1 second","&lt;"&amp;(ROUND(Q20,2)+1)&amp;" seconds")</f>
        <v/>
      </c>
      <c r="S20">
        <f>Q20+1</f>
        <v/>
      </c>
      <c r="T20">
        <f>Q20+0.5</f>
        <v/>
      </c>
    </row>
    <row r="21" ht="16" customHeight="1">
      <c r="O21">
        <f>(INT(D21)*60+(D21-INT(D21))*100)-(INT($D$2)*60+($D$2-INT($D$2))*100)</f>
        <v/>
      </c>
      <c r="P21">
        <f>(INT(E21)*60+(E21-INT(E21))*100)-(INT($D$2)*60+($D$2-INT($D$2))*100)</f>
        <v/>
      </c>
      <c r="Q21">
        <f>P21-O21</f>
        <v/>
      </c>
      <c r="R21">
        <f>IF(Q21=0,"&lt;1 second","&lt;"&amp;(ROUND(Q21,2)+1)&amp;" seconds")</f>
        <v/>
      </c>
      <c r="S21">
        <f>Q21+1</f>
        <v/>
      </c>
      <c r="T21">
        <f>Q21+0.5</f>
        <v/>
      </c>
    </row>
    <row r="22" ht="16" customHeight="1">
      <c r="O22">
        <f>(INT(D22)*60+(D22-INT(D22))*100)-(INT($D$2)*60+($D$2-INT($D$2))*100)</f>
        <v/>
      </c>
      <c r="P22">
        <f>(INT(E22)*60+(E22-INT(E22))*100)-(INT($D$2)*60+($D$2-INT($D$2))*100)</f>
        <v/>
      </c>
      <c r="Q22">
        <f>P22-O22</f>
        <v/>
      </c>
      <c r="R22">
        <f>IF(Q22=0,"&lt;1 second","&lt;"&amp;(ROUND(Q22,2)+1)&amp;" seconds")</f>
        <v/>
      </c>
      <c r="S22">
        <f>Q22+1</f>
        <v/>
      </c>
      <c r="T22">
        <f>Q22+0.5</f>
        <v/>
      </c>
    </row>
    <row r="23" ht="16" customHeight="1">
      <c r="O23">
        <f>(INT(D23)*60+(D23-INT(D23))*100)-(INT($D$2)*60+($D$2-INT($D$2))*100)</f>
        <v/>
      </c>
      <c r="P23">
        <f>(INT(E23)*60+(E23-INT(E23))*100)-(INT($D$2)*60+($D$2-INT($D$2))*100)</f>
        <v/>
      </c>
      <c r="Q23">
        <f>P23-O23</f>
        <v/>
      </c>
      <c r="R23">
        <f>IF(Q23=0,"&lt;1 second","&lt;"&amp;(ROUND(Q23,2)+1)&amp;" seconds")</f>
        <v/>
      </c>
      <c r="S23">
        <f>Q23+1</f>
        <v/>
      </c>
      <c r="T23">
        <f>Q23+0.5</f>
        <v/>
      </c>
    </row>
    <row r="24" ht="16" customHeight="1">
      <c r="O24">
        <f>(INT(D24)*60+(D24-INT(D24))*100)-(INT($D$2)*60+($D$2-INT($D$2))*100)</f>
        <v/>
      </c>
      <c r="P24">
        <f>(INT(E24)*60+(E24-INT(E24))*100)-(INT($D$2)*60+($D$2-INT($D$2))*100)</f>
        <v/>
      </c>
      <c r="Q24">
        <f>P24-O24</f>
        <v/>
      </c>
      <c r="R24">
        <f>IF(Q24=0,"&lt;1 second","&lt;"&amp;(ROUND(Q24,2)+1)&amp;" seconds")</f>
        <v/>
      </c>
      <c r="S24">
        <f>Q24+1</f>
        <v/>
      </c>
      <c r="T24">
        <f>Q24+0.5</f>
        <v/>
      </c>
    </row>
    <row r="25" ht="16" customHeight="1">
      <c r="O25">
        <f>(INT(D25)*60+(D25-INT(D25))*100)-(INT($D$2)*60+($D$2-INT($D$2))*100)</f>
        <v/>
      </c>
      <c r="P25">
        <f>(INT(E25)*60+(E25-INT(E25))*100)-(INT($D$2)*60+($D$2-INT($D$2))*100)</f>
        <v/>
      </c>
      <c r="Q25">
        <f>P25-O25</f>
        <v/>
      </c>
      <c r="R25">
        <f>IF(Q25=0,"&lt;1 second","&lt;"&amp;(ROUND(Q25,2)+1)&amp;" seconds")</f>
        <v/>
      </c>
      <c r="S25">
        <f>Q25+1</f>
        <v/>
      </c>
      <c r="T25">
        <f>Q25+0.5</f>
        <v/>
      </c>
    </row>
    <row r="26" ht="16" customHeight="1">
      <c r="O26">
        <f>(INT(D26)*60+(D26-INT(D26))*100)-(INT($D$2)*60+($D$2-INT($D$2))*100)</f>
        <v/>
      </c>
      <c r="P26">
        <f>(INT(E26)*60+(E26-INT(E26))*100)-(INT($D$2)*60+($D$2-INT($D$2))*100)</f>
        <v/>
      </c>
      <c r="Q26">
        <f>P26-O26</f>
        <v/>
      </c>
      <c r="R26">
        <f>IF(Q26=0,"&lt;1 second","&lt;"&amp;(ROUND(Q26,2)+1)&amp;" seconds")</f>
        <v/>
      </c>
      <c r="S26">
        <f>Q26+1</f>
        <v/>
      </c>
      <c r="T26">
        <f>Q26+0.5</f>
        <v/>
      </c>
    </row>
    <row r="27" ht="16" customHeight="1">
      <c r="O27">
        <f>(INT(D27)*60+(D27-INT(D27))*100)-(INT($D$2)*60+($D$2-INT($D$2))*100)</f>
        <v/>
      </c>
      <c r="P27">
        <f>(INT(E27)*60+(E27-INT(E27))*100)-(INT($D$2)*60+($D$2-INT($D$2))*100)</f>
        <v/>
      </c>
      <c r="Q27">
        <f>P27-O27</f>
        <v/>
      </c>
      <c r="R27">
        <f>IF(Q27=0,"&lt;1 second","&lt;"&amp;(ROUND(Q27,2)+1)&amp;" seconds")</f>
        <v/>
      </c>
      <c r="S27">
        <f>Q27+1</f>
        <v/>
      </c>
      <c r="T27">
        <f>Q27+0.5</f>
        <v/>
      </c>
    </row>
    <row r="28" ht="16" customHeight="1">
      <c r="O28">
        <f>(INT(D28)*60+(D28-INT(D28))*100)-(INT($D$2)*60+($D$2-INT($D$2))*100)</f>
        <v/>
      </c>
      <c r="P28">
        <f>(INT(E28)*60+(E28-INT(E28))*100)-(INT($D$2)*60+($D$2-INT($D$2))*100)</f>
        <v/>
      </c>
      <c r="Q28">
        <f>P28-O28</f>
        <v/>
      </c>
      <c r="R28">
        <f>IF(Q28=0,"&lt;1 second","&lt;"&amp;(ROUND(Q28,2)+1)&amp;" seconds")</f>
        <v/>
      </c>
      <c r="S28">
        <f>Q28+1</f>
        <v/>
      </c>
      <c r="T28">
        <f>Q28+0.5</f>
        <v/>
      </c>
    </row>
    <row r="29" ht="16" customHeight="1">
      <c r="O29">
        <f>(INT(D29)*60+(D29-INT(D29))*100)-(INT($D$2)*60+($D$2-INT($D$2))*100)</f>
        <v/>
      </c>
      <c r="P29">
        <f>(INT(E29)*60+(E29-INT(E29))*100)-(INT($D$2)*60+($D$2-INT($D$2))*100)</f>
        <v/>
      </c>
      <c r="Q29">
        <f>P29-O29</f>
        <v/>
      </c>
      <c r="R29">
        <f>IF(Q29=0,"&lt;1 second","&lt;"&amp;(ROUND(Q29,2)+1)&amp;" seconds")</f>
        <v/>
      </c>
      <c r="S29">
        <f>Q29+1</f>
        <v/>
      </c>
      <c r="T29">
        <f>Q29+0.5</f>
        <v/>
      </c>
    </row>
    <row r="30" ht="16" customHeight="1">
      <c r="O30">
        <f>(INT(D30)*60+(D30-INT(D30))*100)-(INT($D$2)*60+($D$2-INT($D$2))*100)</f>
        <v/>
      </c>
      <c r="P30">
        <f>(INT(E30)*60+(E30-INT(E30))*100)-(INT($D$2)*60+($D$2-INT($D$2))*100)</f>
        <v/>
      </c>
      <c r="Q30">
        <f>P30-O30</f>
        <v/>
      </c>
      <c r="R30">
        <f>IF(Q30=0,"&lt;1 second","&lt;"&amp;(ROUND(Q30,2)+1)&amp;" seconds")</f>
        <v/>
      </c>
      <c r="S30">
        <f>Q30+1</f>
        <v/>
      </c>
      <c r="T30">
        <f>Q30+0.5</f>
        <v/>
      </c>
    </row>
    <row r="31" ht="16" customHeight="1">
      <c r="O31">
        <f>(INT(D31)*60+(D31-INT(D31))*100)-(INT($D$2)*60+($D$2-INT($D$2))*100)</f>
        <v/>
      </c>
      <c r="P31">
        <f>(INT(E31)*60+(E31-INT(E31))*100)-(INT($D$2)*60+($D$2-INT($D$2))*100)</f>
        <v/>
      </c>
      <c r="Q31">
        <f>P31-O31</f>
        <v/>
      </c>
      <c r="R31">
        <f>IF(Q31=0,"&lt;1 second","&lt;"&amp;(ROUND(Q31,2)+1)&amp;" seconds")</f>
        <v/>
      </c>
      <c r="S31">
        <f>Q31+1</f>
        <v/>
      </c>
      <c r="T31">
        <f>Q31+0.5</f>
        <v/>
      </c>
    </row>
    <row r="32" ht="16" customHeight="1">
      <c r="O32">
        <f>(INT(D32)*60+(D32-INT(D32))*100)-(INT($D$2)*60+($D$2-INT($D$2))*100)</f>
        <v/>
      </c>
      <c r="P32">
        <f>(INT(E32)*60+(E32-INT(E32))*100)-(INT($D$2)*60+($D$2-INT($D$2))*100)</f>
        <v/>
      </c>
      <c r="Q32">
        <f>P32-O32</f>
        <v/>
      </c>
      <c r="R32">
        <f>IF(Q32=0,"&lt;1 second","&lt;"&amp;(ROUND(Q32,2)+1)&amp;" seconds")</f>
        <v/>
      </c>
      <c r="S32">
        <f>Q32+1</f>
        <v/>
      </c>
      <c r="T32">
        <f>Q32+0.5</f>
        <v/>
      </c>
    </row>
    <row r="33" ht="16" customHeight="1">
      <c r="O33">
        <f>(INT(D33)*60+(D33-INT(D33))*100)-(INT($D$2)*60+($D$2-INT($D$2))*100)</f>
        <v/>
      </c>
      <c r="P33">
        <f>(INT(E33)*60+(E33-INT(E33))*100)-(INT($D$2)*60+($D$2-INT($D$2))*100)</f>
        <v/>
      </c>
      <c r="Q33">
        <f>P33-O33</f>
        <v/>
      </c>
      <c r="R33">
        <f>IF(Q33=0,"&lt;1 second","&lt;"&amp;(ROUND(Q33,2)+1)&amp;" seconds")</f>
        <v/>
      </c>
      <c r="S33">
        <f>Q33+1</f>
        <v/>
      </c>
      <c r="T33">
        <f>Q33+0.5</f>
        <v/>
      </c>
    </row>
    <row r="34" ht="16" customHeight="1">
      <c r="O34">
        <f>(INT(D34)*60+(D34-INT(D34))*100)-(INT($D$2)*60+($D$2-INT($D$2))*100)</f>
        <v/>
      </c>
      <c r="P34">
        <f>(INT(E34)*60+(E34-INT(E34))*100)-(INT($D$2)*60+($D$2-INT($D$2))*100)</f>
        <v/>
      </c>
      <c r="Q34">
        <f>P34-O34</f>
        <v/>
      </c>
      <c r="R34">
        <f>IF(Q34=0,"&lt;1 second","&lt;"&amp;(ROUND(Q34,2)+1)&amp;" seconds")</f>
        <v/>
      </c>
      <c r="S34">
        <f>Q34+1</f>
        <v/>
      </c>
      <c r="T34">
        <f>Q34+0.5</f>
        <v/>
      </c>
    </row>
    <row r="35" ht="16" customHeight="1">
      <c r="O35">
        <f>(INT(D35)*60+(D35-INT(D35))*100)-(INT($D$2)*60+($D$2-INT($D$2))*100)</f>
        <v/>
      </c>
      <c r="P35">
        <f>(INT(E35)*60+(E35-INT(E35))*100)-(INT($D$2)*60+($D$2-INT($D$2))*100)</f>
        <v/>
      </c>
      <c r="Q35">
        <f>P35-O35</f>
        <v/>
      </c>
      <c r="R35">
        <f>IF(Q35=0,"&lt;1 second","&lt;"&amp;(ROUND(Q35,2)+1)&amp;" seconds")</f>
        <v/>
      </c>
      <c r="S35">
        <f>Q35+1</f>
        <v/>
      </c>
      <c r="T35">
        <f>Q35+0.5</f>
        <v/>
      </c>
    </row>
    <row r="36" ht="16" customHeight="1">
      <c r="O36">
        <f>(INT(D36)*60+(D36-INT(D36))*100)-(INT($D$2)*60+($D$2-INT($D$2))*100)</f>
        <v/>
      </c>
      <c r="P36">
        <f>(INT(E36)*60+(E36-INT(E36))*100)-(INT($D$2)*60+($D$2-INT($D$2))*100)</f>
        <v/>
      </c>
      <c r="Q36">
        <f>P36-O36</f>
        <v/>
      </c>
      <c r="R36">
        <f>IF(Q36=0,"&lt;1 second","&lt;"&amp;(ROUND(Q36,2)+1)&amp;" seconds")</f>
        <v/>
      </c>
      <c r="S36">
        <f>Q36+1</f>
        <v/>
      </c>
      <c r="T36">
        <f>Q36+0.5</f>
        <v/>
      </c>
    </row>
    <row r="37" ht="16" customHeight="1">
      <c r="O37">
        <f>(INT(D37)*60+(D37-INT(D37))*100)-(INT($D$2)*60+($D$2-INT($D$2))*100)</f>
        <v/>
      </c>
      <c r="P37">
        <f>(INT(E37)*60+(E37-INT(E37))*100)-(INT($D$2)*60+($D$2-INT($D$2))*100)</f>
        <v/>
      </c>
      <c r="Q37">
        <f>P37-O37</f>
        <v/>
      </c>
      <c r="R37">
        <f>IF(Q37=0,"&lt;1 second","&lt;"&amp;(ROUND(Q37,2)+1)&amp;" seconds")</f>
        <v/>
      </c>
      <c r="S37">
        <f>Q37+1</f>
        <v/>
      </c>
      <c r="T37">
        <f>Q37+0.5</f>
        <v/>
      </c>
    </row>
    <row r="38" ht="16" customHeight="1">
      <c r="O38">
        <f>(INT(D38)*60+(D38-INT(D38))*100)-(INT($D$2)*60+($D$2-INT($D$2))*100)</f>
        <v/>
      </c>
      <c r="P38">
        <f>(INT(E38)*60+(E38-INT(E38))*100)-(INT($D$2)*60+($D$2-INT($D$2))*100)</f>
        <v/>
      </c>
      <c r="Q38">
        <f>P38-O38</f>
        <v/>
      </c>
      <c r="R38">
        <f>IF(Q38=0,"&lt;1 second","&lt;"&amp;(ROUND(Q38,2)+1)&amp;" seconds")</f>
        <v/>
      </c>
      <c r="S38">
        <f>Q38+1</f>
        <v/>
      </c>
      <c r="T38">
        <f>Q38+0.5</f>
        <v/>
      </c>
    </row>
    <row r="39" ht="16" customHeight="1">
      <c r="O39">
        <f>(INT(D39)*60+(D39-INT(D39))*100)-(INT($D$2)*60+($D$2-INT($D$2))*100)</f>
        <v/>
      </c>
      <c r="P39">
        <f>(INT(E39)*60+(E39-INT(E39))*100)-(INT($D$2)*60+($D$2-INT($D$2))*100)</f>
        <v/>
      </c>
      <c r="Q39">
        <f>P39-O39</f>
        <v/>
      </c>
      <c r="R39">
        <f>IF(Q39=0,"&lt;1 second","&lt;"&amp;(ROUND(Q39,2)+1)&amp;" seconds")</f>
        <v/>
      </c>
      <c r="S39">
        <f>Q39+1</f>
        <v/>
      </c>
      <c r="T39">
        <f>Q39+0.5</f>
        <v/>
      </c>
    </row>
    <row r="40" ht="16" customHeight="1">
      <c r="O40">
        <f>(INT(D40)*60+(D40-INT(D40))*100)-(INT($D$2)*60+($D$2-INT($D$2))*100)</f>
        <v/>
      </c>
      <c r="P40">
        <f>(INT(E40)*60+(E40-INT(E40))*100)-(INT($D$2)*60+($D$2-INT($D$2))*100)</f>
        <v/>
      </c>
      <c r="Q40">
        <f>P40-O40</f>
        <v/>
      </c>
      <c r="R40">
        <f>IF(Q40=0,"&lt;1 second","&lt;"&amp;(ROUND(Q40,2)+1)&amp;" seconds")</f>
        <v/>
      </c>
      <c r="S40">
        <f>Q40+1</f>
        <v/>
      </c>
      <c r="T40">
        <f>Q40+0.5</f>
        <v/>
      </c>
    </row>
    <row r="41" ht="16" customHeight="1">
      <c r="O41">
        <f>(INT(D41)*60+(D41-INT(D41))*100)-(INT($D$2)*60+($D$2-INT($D$2))*100)</f>
        <v/>
      </c>
      <c r="P41">
        <f>(INT(E41)*60+(E41-INT(E41))*100)-(INT($D$2)*60+($D$2-INT($D$2))*100)</f>
        <v/>
      </c>
      <c r="Q41">
        <f>P41-O41</f>
        <v/>
      </c>
      <c r="R41">
        <f>IF(Q41=0,"&lt;1 second","&lt;"&amp;(ROUND(Q41,2)+1)&amp;" seconds")</f>
        <v/>
      </c>
      <c r="S41">
        <f>Q41+1</f>
        <v/>
      </c>
      <c r="T41">
        <f>Q41+0.5</f>
        <v/>
      </c>
    </row>
    <row r="42" ht="16" customHeight="1">
      <c r="O42">
        <f>(INT(D42)*60+(D42-INT(D42))*100)-(INT($D$2)*60+($D$2-INT($D$2))*100)</f>
        <v/>
      </c>
      <c r="P42">
        <f>(INT(E42)*60+(E42-INT(E42))*100)-(INT($D$2)*60+($D$2-INT($D$2))*100)</f>
        <v/>
      </c>
      <c r="Q42">
        <f>P42-O42</f>
        <v/>
      </c>
      <c r="R42">
        <f>IF(Q42=0,"&lt;1 second","&lt;"&amp;(ROUND(Q42,2)+1)&amp;" seconds")</f>
        <v/>
      </c>
      <c r="S42">
        <f>Q42+1</f>
        <v/>
      </c>
      <c r="T42">
        <f>Q42+0.5</f>
        <v/>
      </c>
    </row>
    <row r="43" ht="16" customHeight="1">
      <c r="O43">
        <f>(INT(D43)*60+(D43-INT(D43))*100)-(INT($D$2)*60+($D$2-INT($D$2))*100)</f>
        <v/>
      </c>
      <c r="P43">
        <f>(INT(E43)*60+(E43-INT(E43))*100)-(INT($D$2)*60+($D$2-INT($D$2))*100)</f>
        <v/>
      </c>
      <c r="Q43">
        <f>P43-O43</f>
        <v/>
      </c>
      <c r="R43">
        <f>IF(Q43=0,"&lt;1 second","&lt;"&amp;(ROUND(Q43,2)+1)&amp;" seconds")</f>
        <v/>
      </c>
      <c r="S43">
        <f>Q43+1</f>
        <v/>
      </c>
      <c r="T43">
        <f>Q43+0.5</f>
        <v/>
      </c>
    </row>
    <row r="44" ht="16" customHeight="1">
      <c r="O44">
        <f>(INT(D44)*60+(D44-INT(D44))*100)-(INT($D$2)*60+($D$2-INT($D$2))*100)</f>
        <v/>
      </c>
      <c r="P44">
        <f>(INT(E44)*60+(E44-INT(E44))*100)-(INT($D$2)*60+($D$2-INT($D$2))*100)</f>
        <v/>
      </c>
      <c r="Q44">
        <f>P44-O44</f>
        <v/>
      </c>
      <c r="R44">
        <f>IF(Q44=0,"&lt;1 second","&lt;"&amp;(ROUND(Q44,2)+1)&amp;" seconds")</f>
        <v/>
      </c>
      <c r="S44">
        <f>Q44+1</f>
        <v/>
      </c>
      <c r="T44">
        <f>Q44+0.5</f>
        <v/>
      </c>
    </row>
    <row r="45" ht="16" customHeight="1">
      <c r="O45">
        <f>(INT(D45)*60+(D45-INT(D45))*100)-(INT($D$2)*60+($D$2-INT($D$2))*100)</f>
        <v/>
      </c>
      <c r="P45">
        <f>(INT(E45)*60+(E45-INT(E45))*100)-(INT($D$2)*60+($D$2-INT($D$2))*100)</f>
        <v/>
      </c>
      <c r="Q45">
        <f>P45-O45</f>
        <v/>
      </c>
      <c r="R45">
        <f>IF(Q45=0,"&lt;1 second","&lt;"&amp;(ROUND(Q45,2)+1)&amp;" seconds")</f>
        <v/>
      </c>
      <c r="S45">
        <f>Q45+1</f>
        <v/>
      </c>
      <c r="T45">
        <f>Q45+0.5</f>
        <v/>
      </c>
    </row>
    <row r="46" ht="16" customHeight="1">
      <c r="O46">
        <f>(INT(D46)*60+(D46-INT(D46))*100)-(INT($D$2)*60+($D$2-INT($D$2))*100)</f>
        <v/>
      </c>
      <c r="P46">
        <f>(INT(E46)*60+(E46-INT(E46))*100)-(INT($D$2)*60+($D$2-INT($D$2))*100)</f>
        <v/>
      </c>
      <c r="Q46">
        <f>P46-O46</f>
        <v/>
      </c>
      <c r="R46">
        <f>IF(Q46=0,"&lt;1 second","&lt;"&amp;(ROUND(Q46,2)+1)&amp;" seconds")</f>
        <v/>
      </c>
      <c r="S46">
        <f>Q46+1</f>
        <v/>
      </c>
      <c r="T46">
        <f>Q46+0.5</f>
        <v/>
      </c>
    </row>
    <row r="47" ht="16" customHeight="1">
      <c r="O47">
        <f>(INT(D47)*60+(D47-INT(D47))*100)-(INT($D$2)*60+($D$2-INT($D$2))*100)</f>
        <v/>
      </c>
      <c r="P47">
        <f>(INT(E47)*60+(E47-INT(E47))*100)-(INT($D$2)*60+($D$2-INT($D$2))*100)</f>
        <v/>
      </c>
      <c r="Q47">
        <f>P47-O47</f>
        <v/>
      </c>
      <c r="R47">
        <f>IF(Q47=0,"&lt;1 second","&lt;"&amp;(ROUND(Q47,2)+1)&amp;" seconds")</f>
        <v/>
      </c>
      <c r="S47">
        <f>Q47+1</f>
        <v/>
      </c>
      <c r="T47">
        <f>Q47+0.5</f>
        <v/>
      </c>
    </row>
    <row r="48" ht="16" customHeight="1">
      <c r="O48">
        <f>(INT(D48)*60+(D48-INT(D48))*100)-(INT($D$2)*60+($D$2-INT($D$2))*100)</f>
        <v/>
      </c>
      <c r="P48">
        <f>(INT(E48)*60+(E48-INT(E48))*100)-(INT($D$2)*60+($D$2-INT($D$2))*100)</f>
        <v/>
      </c>
      <c r="Q48">
        <f>P48-O48</f>
        <v/>
      </c>
      <c r="R48">
        <f>IF(Q48=0,"&lt;1 second","&lt;"&amp;(ROUND(Q48,2)+1)&amp;" seconds")</f>
        <v/>
      </c>
      <c r="S48">
        <f>Q48+1</f>
        <v/>
      </c>
      <c r="T48">
        <f>Q48+0.5</f>
        <v/>
      </c>
    </row>
    <row r="49" ht="16" customHeight="1">
      <c r="O49">
        <f>(INT(D49)*60+(D49-INT(D49))*100)-(INT($D$2)*60+($D$2-INT($D$2))*100)</f>
        <v/>
      </c>
      <c r="P49">
        <f>(INT(E49)*60+(E49-INT(E49))*100)-(INT($D$2)*60+($D$2-INT($D$2))*100)</f>
        <v/>
      </c>
      <c r="Q49">
        <f>P49-O49</f>
        <v/>
      </c>
      <c r="R49">
        <f>IF(Q49=0,"&lt;1 second","&lt;"&amp;(ROUND(Q49,2)+1)&amp;" seconds")</f>
        <v/>
      </c>
      <c r="S49">
        <f>Q49+1</f>
        <v/>
      </c>
      <c r="T49">
        <f>Q49+0.5</f>
        <v/>
      </c>
    </row>
    <row r="50" ht="16" customHeight="1">
      <c r="O50">
        <f>(INT(D50)*60+(D50-INT(D50))*100)-(INT($D$2)*60+($D$2-INT($D$2))*100)</f>
        <v/>
      </c>
      <c r="P50">
        <f>(INT(E50)*60+(E50-INT(E50))*100)-(INT($D$2)*60+($D$2-INT($D$2))*100)</f>
        <v/>
      </c>
      <c r="Q50">
        <f>P50-O50</f>
        <v/>
      </c>
      <c r="R50">
        <f>IF(Q50=0,"&lt;1 second","&lt;"&amp;(ROUND(Q50,2)+1)&amp;" seconds")</f>
        <v/>
      </c>
      <c r="S50">
        <f>Q50+1</f>
        <v/>
      </c>
      <c r="T50">
        <f>Q50+0.5</f>
        <v/>
      </c>
    </row>
    <row r="51" ht="16" customHeight="1">
      <c r="O51">
        <f>(INT(D51)*60+(D51-INT(D51))*100)-(INT($D$2)*60+($D$2-INT($D$2))*100)</f>
        <v/>
      </c>
      <c r="P51">
        <f>(INT(E51)*60+(E51-INT(E51))*100)-(INT($D$2)*60+($D$2-INT($D$2))*100)</f>
        <v/>
      </c>
      <c r="Q51">
        <f>P51-O51</f>
        <v/>
      </c>
      <c r="R51">
        <f>IF(Q51=0,"&lt;1 second","&lt;"&amp;(ROUND(Q51,2)+1)&amp;" seconds")</f>
        <v/>
      </c>
      <c r="S51">
        <f>Q51+1</f>
        <v/>
      </c>
      <c r="T51">
        <f>Q51+0.5</f>
        <v/>
      </c>
    </row>
    <row r="52" ht="16" customHeight="1">
      <c r="O52">
        <f>(INT(D52)*60+(D52-INT(D52))*100)-(INT($D$2)*60+($D$2-INT($D$2))*100)</f>
        <v/>
      </c>
      <c r="P52">
        <f>(INT(E52)*60+(E52-INT(E52))*100)-(INT($D$2)*60+($D$2-INT($D$2))*100)</f>
        <v/>
      </c>
      <c r="Q52">
        <f>P52-O52</f>
        <v/>
      </c>
      <c r="R52">
        <f>IF(Q52=0,"&lt;1 second","&lt;"&amp;(ROUND(Q52,2)+1)&amp;" seconds")</f>
        <v/>
      </c>
      <c r="S52">
        <f>Q52+1</f>
        <v/>
      </c>
      <c r="T52">
        <f>Q52+0.5</f>
        <v/>
      </c>
    </row>
    <row r="53" ht="16" customHeight="1">
      <c r="O53">
        <f>(INT(D53)*60+(D53-INT(D53))*100)-(INT($D$2)*60+($D$2-INT($D$2))*100)</f>
        <v/>
      </c>
      <c r="P53">
        <f>(INT(E53)*60+(E53-INT(E53))*100)-(INT($D$2)*60+($D$2-INT($D$2))*100)</f>
        <v/>
      </c>
      <c r="Q53">
        <f>P53-O53</f>
        <v/>
      </c>
      <c r="R53">
        <f>IF(Q53=0,"&lt;1 second","&lt;"&amp;(ROUND(Q53,2)+1)&amp;" seconds")</f>
        <v/>
      </c>
      <c r="S53">
        <f>Q53+1</f>
        <v/>
      </c>
      <c r="T53">
        <f>Q53+0.5</f>
        <v/>
      </c>
    </row>
    <row r="54" ht="16" customHeight="1">
      <c r="O54">
        <f>(INT(D54)*60+(D54-INT(D54))*100)-(INT($D$2)*60+($D$2-INT($D$2))*100)</f>
        <v/>
      </c>
      <c r="P54">
        <f>(INT(E54)*60+(E54-INT(E54))*100)-(INT($D$2)*60+($D$2-INT($D$2))*100)</f>
        <v/>
      </c>
      <c r="Q54">
        <f>P54-O54</f>
        <v/>
      </c>
      <c r="R54">
        <f>IF(Q54=0,"&lt;1 second","&lt;"&amp;(ROUND(Q54,2)+1)&amp;" seconds")</f>
        <v/>
      </c>
      <c r="S54">
        <f>Q54+1</f>
        <v/>
      </c>
      <c r="T54">
        <f>Q54+0.5</f>
        <v/>
      </c>
    </row>
    <row r="55" ht="16" customHeight="1">
      <c r="O55">
        <f>(INT(D55)*60+(D55-INT(D55))*100)-(INT($D$2)*60+($D$2-INT($D$2))*100)</f>
        <v/>
      </c>
      <c r="P55">
        <f>(INT(E55)*60+(E55-INT(E55))*100)-(INT($D$2)*60+($D$2-INT($D$2))*100)</f>
        <v/>
      </c>
      <c r="Q55">
        <f>P55-O55</f>
        <v/>
      </c>
      <c r="R55">
        <f>IF(Q55=0,"&lt;1 second","&lt;"&amp;(ROUND(Q55,2)+1)&amp;" seconds")</f>
        <v/>
      </c>
      <c r="S55">
        <f>Q55+1</f>
        <v/>
      </c>
      <c r="T55">
        <f>Q55+0.5</f>
        <v/>
      </c>
    </row>
    <row r="56" ht="16" customHeight="1">
      <c r="O56">
        <f>(INT(D56)*60+(D56-INT(D56))*100)-(INT($D$2)*60+($D$2-INT($D$2))*100)</f>
        <v/>
      </c>
      <c r="P56">
        <f>(INT(E56)*60+(E56-INT(E56))*100)-(INT($D$2)*60+($D$2-INT($D$2))*100)</f>
        <v/>
      </c>
      <c r="Q56">
        <f>P56-O56</f>
        <v/>
      </c>
      <c r="R56">
        <f>IF(Q56=0,"&lt;1 second","&lt;"&amp;(ROUND(Q56,2)+1)&amp;" seconds")</f>
        <v/>
      </c>
      <c r="S56">
        <f>Q56+1</f>
        <v/>
      </c>
      <c r="T56">
        <f>Q56+0.5</f>
        <v/>
      </c>
    </row>
    <row r="57" ht="16" customHeight="1">
      <c r="O57">
        <f>(INT(D57)*60+(D57-INT(D57))*100)-(INT($D$2)*60+($D$2-INT($D$2))*100)</f>
        <v/>
      </c>
      <c r="P57">
        <f>(INT(E57)*60+(E57-INT(E57))*100)-(INT($D$2)*60+($D$2-INT($D$2))*100)</f>
        <v/>
      </c>
      <c r="Q57">
        <f>P57-O57</f>
        <v/>
      </c>
      <c r="R57">
        <f>IF(Q57=0,"&lt;1 second","&lt;"&amp;(ROUND(Q57,2)+1)&amp;" seconds")</f>
        <v/>
      </c>
      <c r="S57">
        <f>Q57+1</f>
        <v/>
      </c>
      <c r="T57">
        <f>Q57+0.5</f>
        <v/>
      </c>
    </row>
    <row r="58" ht="16" customHeight="1">
      <c r="O58">
        <f>(INT(D58)*60+(D58-INT(D58))*100)-(INT($D$2)*60+($D$2-INT($D$2))*100)</f>
        <v/>
      </c>
      <c r="P58">
        <f>(INT(E58)*60+(E58-INT(E58))*100)-(INT($D$2)*60+($D$2-INT($D$2))*100)</f>
        <v/>
      </c>
      <c r="Q58">
        <f>P58-O58</f>
        <v/>
      </c>
      <c r="R58">
        <f>IF(Q58=0,"&lt;1 second","&lt;"&amp;(ROUND(Q58,2)+1)&amp;" seconds")</f>
        <v/>
      </c>
      <c r="S58">
        <f>Q58+1</f>
        <v/>
      </c>
      <c r="T58">
        <f>Q58+0.5</f>
        <v/>
      </c>
    </row>
    <row r="59" ht="16" customHeight="1">
      <c r="O59">
        <f>(INT(D59)*60+(D59-INT(D59))*100)-(INT($D$2)*60+($D$2-INT($D$2))*100)</f>
        <v/>
      </c>
      <c r="P59">
        <f>(INT(E59)*60+(E59-INT(E59))*100)-(INT($D$2)*60+($D$2-INT($D$2))*100)</f>
        <v/>
      </c>
      <c r="Q59">
        <f>P59-O59</f>
        <v/>
      </c>
      <c r="R59">
        <f>IF(Q59=0,"&lt;1 second","&lt;"&amp;(ROUND(Q59,2)+1)&amp;" seconds")</f>
        <v/>
      </c>
      <c r="S59">
        <f>Q59+1</f>
        <v/>
      </c>
      <c r="T59">
        <f>Q59+0.5</f>
        <v/>
      </c>
    </row>
    <row r="60" ht="16" customHeight="1">
      <c r="O60">
        <f>(INT(D60)*60+(D60-INT(D60))*100)-(INT($D$2)*60+($D$2-INT($D$2))*100)</f>
        <v/>
      </c>
      <c r="P60">
        <f>(INT(E60)*60+(E60-INT(E60))*100)-(INT($D$2)*60+($D$2-INT($D$2))*100)</f>
        <v/>
      </c>
      <c r="Q60">
        <f>P60-O60</f>
        <v/>
      </c>
      <c r="R60">
        <f>IF(Q60=0,"&lt;1 second","&lt;"&amp;(ROUND(Q60,2)+1)&amp;" seconds")</f>
        <v/>
      </c>
      <c r="S60">
        <f>Q60+1</f>
        <v/>
      </c>
      <c r="T60">
        <f>Q60+0.5</f>
        <v/>
      </c>
    </row>
    <row r="61" ht="16" customHeight="1">
      <c r="O61">
        <f>(INT(D61)*60+(D61-INT(D61))*100)-(INT($D$2)*60+($D$2-INT($D$2))*100)</f>
        <v/>
      </c>
      <c r="P61">
        <f>(INT(E61)*60+(E61-INT(E61))*100)-(INT($D$2)*60+($D$2-INT($D$2))*100)</f>
        <v/>
      </c>
      <c r="Q61">
        <f>P61-O61</f>
        <v/>
      </c>
      <c r="R61">
        <f>IF(Q61=0,"&lt;1 second","&lt;"&amp;(ROUND(Q61,2)+1)&amp;" seconds")</f>
        <v/>
      </c>
      <c r="S61">
        <f>Q61+1</f>
        <v/>
      </c>
      <c r="T61">
        <f>Q61+0.5</f>
        <v/>
      </c>
    </row>
    <row r="62" ht="16" customHeight="1">
      <c r="O62">
        <f>(INT(D62)*60+(D62-INT(D62))*100)-(INT($D$2)*60+($D$2-INT($D$2))*100)</f>
        <v/>
      </c>
      <c r="P62">
        <f>(INT(E62)*60+(E62-INT(E62))*100)-(INT($D$2)*60+($D$2-INT($D$2))*100)</f>
        <v/>
      </c>
      <c r="Q62">
        <f>P62-O62</f>
        <v/>
      </c>
      <c r="R62">
        <f>IF(Q62=0,"&lt;1 second","&lt;"&amp;(ROUND(Q62,2)+1)&amp;" seconds")</f>
        <v/>
      </c>
      <c r="S62">
        <f>Q62+1</f>
        <v/>
      </c>
      <c r="T62">
        <f>Q62+0.5</f>
        <v/>
      </c>
    </row>
    <row r="63" ht="16" customHeight="1">
      <c r="O63">
        <f>(INT(D63)*60+(D63-INT(D63))*100)-(INT($D$2)*60+($D$2-INT($D$2))*100)</f>
        <v/>
      </c>
      <c r="P63">
        <f>(INT(E63)*60+(E63-INT(E63))*100)-(INT($D$2)*60+($D$2-INT($D$2))*100)</f>
        <v/>
      </c>
      <c r="Q63">
        <f>P63-O63</f>
        <v/>
      </c>
      <c r="R63">
        <f>IF(Q63=0,"&lt;1 second","&lt;"&amp;(ROUND(Q63,2)+1)&amp;" seconds")</f>
        <v/>
      </c>
      <c r="S63">
        <f>Q63+1</f>
        <v/>
      </c>
      <c r="T63">
        <f>Q63+0.5</f>
        <v/>
      </c>
    </row>
    <row r="64" ht="16" customHeight="1">
      <c r="O64">
        <f>(INT(D64)*60+(D64-INT(D64))*100)-(INT($D$2)*60+($D$2-INT($D$2))*100)</f>
        <v/>
      </c>
      <c r="P64">
        <f>(INT(E64)*60+(E64-INT(E64))*100)-(INT($D$2)*60+($D$2-INT($D$2))*100)</f>
        <v/>
      </c>
      <c r="Q64">
        <f>P64-O64</f>
        <v/>
      </c>
      <c r="R64">
        <f>IF(Q64=0,"&lt;1 second","&lt;"&amp;(ROUND(Q64,2)+1)&amp;" seconds")</f>
        <v/>
      </c>
      <c r="S64">
        <f>Q64+1</f>
        <v/>
      </c>
      <c r="T64">
        <f>Q64+0.5</f>
        <v/>
      </c>
    </row>
    <row r="65" ht="16" customHeight="1">
      <c r="O65">
        <f>(INT(D65)*60+(D65-INT(D65))*100)-(INT($D$2)*60+($D$2-INT($D$2))*100)</f>
        <v/>
      </c>
      <c r="P65">
        <f>(INT(E65)*60+(E65-INT(E65))*100)-(INT($D$2)*60+($D$2-INT($D$2))*100)</f>
        <v/>
      </c>
      <c r="Q65">
        <f>P65-O65</f>
        <v/>
      </c>
      <c r="R65">
        <f>IF(Q65=0,"&lt;1 second","&lt;"&amp;(ROUND(Q65,2)+1)&amp;" seconds")</f>
        <v/>
      </c>
      <c r="S65">
        <f>Q65+1</f>
        <v/>
      </c>
      <c r="T65">
        <f>Q65+0.5</f>
        <v/>
      </c>
    </row>
    <row r="66" ht="16" customHeight="1">
      <c r="O66">
        <f>(INT(D66)*60+(D66-INT(D66))*100)-(INT($D$2)*60+($D$2-INT($D$2))*100)</f>
        <v/>
      </c>
      <c r="P66">
        <f>(INT(E66)*60+(E66-INT(E66))*100)-(INT($D$2)*60+($D$2-INT($D$2))*100)</f>
        <v/>
      </c>
      <c r="Q66">
        <f>P66-O66</f>
        <v/>
      </c>
      <c r="R66">
        <f>IF(Q66=0,"&lt;1 second","&lt;"&amp;(ROUND(Q66,2)+1)&amp;" seconds")</f>
        <v/>
      </c>
      <c r="S66">
        <f>Q66+1</f>
        <v/>
      </c>
      <c r="T66">
        <f>Q66+0.5</f>
        <v/>
      </c>
    </row>
    <row r="67" ht="16" customHeight="1">
      <c r="O67">
        <f>(INT(D67)*60+(D67-INT(D67))*100)-(INT($D$2)*60+($D$2-INT($D$2))*100)</f>
        <v/>
      </c>
      <c r="P67">
        <f>(INT(E67)*60+(E67-INT(E67))*100)-(INT($D$2)*60+($D$2-INT($D$2))*100)</f>
        <v/>
      </c>
      <c r="Q67">
        <f>P67-O67</f>
        <v/>
      </c>
      <c r="R67">
        <f>IF(Q67=0,"&lt;1 second","&lt;"&amp;(ROUND(Q67,2)+1)&amp;" seconds")</f>
        <v/>
      </c>
      <c r="S67">
        <f>Q67+1</f>
        <v/>
      </c>
      <c r="T67">
        <f>Q67+0.5</f>
        <v/>
      </c>
    </row>
    <row r="68" ht="16" customHeight="1">
      <c r="O68">
        <f>(INT(D68)*60+(D68-INT(D68))*100)-(INT($D$2)*60+($D$2-INT($D$2))*100)</f>
        <v/>
      </c>
      <c r="P68">
        <f>(INT(E68)*60+(E68-INT(E68))*100)-(INT($D$2)*60+($D$2-INT($D$2))*100)</f>
        <v/>
      </c>
      <c r="Q68">
        <f>P68-O68</f>
        <v/>
      </c>
      <c r="R68">
        <f>IF(Q68=0,"&lt;1 second","&lt;"&amp;(ROUND(Q68,2)+1)&amp;" seconds")</f>
        <v/>
      </c>
      <c r="S68">
        <f>Q68+1</f>
        <v/>
      </c>
      <c r="T68">
        <f>Q68+0.5</f>
        <v/>
      </c>
    </row>
    <row r="69" ht="16" customHeight="1">
      <c r="O69">
        <f>(INT(D69)*60+(D69-INT(D69))*100)-(INT($D$2)*60+($D$2-INT($D$2))*100)</f>
        <v/>
      </c>
      <c r="P69">
        <f>(INT(E69)*60+(E69-INT(E69))*100)-(INT($D$2)*60+($D$2-INT($D$2))*100)</f>
        <v/>
      </c>
      <c r="Q69">
        <f>P69-O69</f>
        <v/>
      </c>
      <c r="R69">
        <f>IF(Q69=0,"&lt;1 second","&lt;"&amp;(ROUND(Q69,2)+1)&amp;" seconds")</f>
        <v/>
      </c>
      <c r="S69">
        <f>Q69+1</f>
        <v/>
      </c>
      <c r="T69">
        <f>Q69+0.5</f>
        <v/>
      </c>
    </row>
    <row r="70" ht="16" customHeight="1">
      <c r="O70">
        <f>(INT(D70)*60+(D70-INT(D70))*100)-(INT($D$2)*60+($D$2-INT($D$2))*100)</f>
        <v/>
      </c>
      <c r="P70">
        <f>(INT(E70)*60+(E70-INT(E70))*100)-(INT($D$2)*60+($D$2-INT($D$2))*100)</f>
        <v/>
      </c>
      <c r="Q70">
        <f>P70-O70</f>
        <v/>
      </c>
      <c r="R70">
        <f>IF(Q70=0,"&lt;1 second","&lt;"&amp;(ROUND(Q70,2)+1)&amp;" seconds")</f>
        <v/>
      </c>
      <c r="S70">
        <f>Q70+1</f>
        <v/>
      </c>
      <c r="T70">
        <f>Q70+0.5</f>
        <v/>
      </c>
    </row>
    <row r="71" ht="16" customHeight="1">
      <c r="O71">
        <f>(INT(D71)*60+(D71-INT(D71))*100)-(INT($D$2)*60+($D$2-INT($D$2))*100)</f>
        <v/>
      </c>
      <c r="P71">
        <f>(INT(E71)*60+(E71-INT(E71))*100)-(INT($D$2)*60+($D$2-INT($D$2))*100)</f>
        <v/>
      </c>
      <c r="Q71">
        <f>P71-O71</f>
        <v/>
      </c>
      <c r="R71">
        <f>IF(Q71=0,"&lt;1 second","&lt;"&amp;(ROUND(Q71,2)+1)&amp;" seconds")</f>
        <v/>
      </c>
      <c r="S71">
        <f>Q71+1</f>
        <v/>
      </c>
      <c r="T71">
        <f>Q71+0.5</f>
        <v/>
      </c>
    </row>
    <row r="72" ht="16" customHeight="1">
      <c r="O72">
        <f>(INT(D72)*60+(D72-INT(D72))*100)-(INT($D$2)*60+($D$2-INT($D$2))*100)</f>
        <v/>
      </c>
      <c r="P72">
        <f>(INT(E72)*60+(E72-INT(E72))*100)-(INT($D$2)*60+($D$2-INT($D$2))*100)</f>
        <v/>
      </c>
      <c r="Q72">
        <f>P72-O72</f>
        <v/>
      </c>
      <c r="R72">
        <f>IF(Q72=0,"&lt;1 second","&lt;"&amp;(ROUND(Q72,2)+1)&amp;" seconds")</f>
        <v/>
      </c>
      <c r="S72">
        <f>Q72+1</f>
        <v/>
      </c>
      <c r="T72">
        <f>Q72+0.5</f>
        <v/>
      </c>
    </row>
    <row r="73" ht="16" customHeight="1">
      <c r="O73">
        <f>(INT(D73)*60+(D73-INT(D73))*100)-(INT($D$2)*60+($D$2-INT($D$2))*100)</f>
        <v/>
      </c>
      <c r="P73">
        <f>(INT(E73)*60+(E73-INT(E73))*100)-(INT($D$2)*60+($D$2-INT($D$2))*100)</f>
        <v/>
      </c>
      <c r="Q73">
        <f>P73-O73</f>
        <v/>
      </c>
      <c r="R73">
        <f>IF(Q73=0,"&lt;1 second","&lt;"&amp;(ROUND(Q73,2)+1)&amp;" seconds")</f>
        <v/>
      </c>
      <c r="S73">
        <f>Q73+1</f>
        <v/>
      </c>
      <c r="T73">
        <f>Q73+0.5</f>
        <v/>
      </c>
    </row>
    <row r="74" ht="16" customHeight="1">
      <c r="O74">
        <f>(INT(D74)*60+(D74-INT(D74))*100)-(INT($D$2)*60+($D$2-INT($D$2))*100)</f>
        <v/>
      </c>
      <c r="P74">
        <f>(INT(E74)*60+(E74-INT(E74))*100)-(INT($D$2)*60+($D$2-INT($D$2))*100)</f>
        <v/>
      </c>
      <c r="Q74">
        <f>P74-O74</f>
        <v/>
      </c>
      <c r="R74">
        <f>IF(Q74=0,"&lt;1 second","&lt;"&amp;(ROUND(Q74,2)+1)&amp;" seconds")</f>
        <v/>
      </c>
      <c r="S74">
        <f>Q74+1</f>
        <v/>
      </c>
      <c r="T74">
        <f>Q74+0.5</f>
        <v/>
      </c>
    </row>
    <row r="75" ht="16" customHeight="1">
      <c r="O75">
        <f>(INT(D75)*60+(D75-INT(D75))*100)-(INT($D$2)*60+($D$2-INT($D$2))*100)</f>
        <v/>
      </c>
      <c r="P75">
        <f>(INT(E75)*60+(E75-INT(E75))*100)-(INT($D$2)*60+($D$2-INT($D$2))*100)</f>
        <v/>
      </c>
      <c r="Q75">
        <f>P75-O75</f>
        <v/>
      </c>
      <c r="R75">
        <f>IF(Q75=0,"&lt;1 second","&lt;"&amp;(ROUND(Q75,2)+1)&amp;" seconds")</f>
        <v/>
      </c>
      <c r="S75">
        <f>Q75+1</f>
        <v/>
      </c>
      <c r="T75">
        <f>Q75+0.5</f>
        <v/>
      </c>
    </row>
    <row r="76" ht="16" customHeight="1">
      <c r="O76">
        <f>(INT(D76)*60+(D76-INT(D76))*100)-(INT($D$2)*60+($D$2-INT($D$2))*100)</f>
        <v/>
      </c>
      <c r="P76">
        <f>(INT(E76)*60+(E76-INT(E76))*100)-(INT($D$2)*60+($D$2-INT($D$2))*100)</f>
        <v/>
      </c>
      <c r="Q76">
        <f>P76-O76</f>
        <v/>
      </c>
      <c r="R76">
        <f>IF(Q76=0,"&lt;1 second","&lt;"&amp;(ROUND(Q76,2)+1)&amp;" seconds")</f>
        <v/>
      </c>
      <c r="S76">
        <f>Q76+1</f>
        <v/>
      </c>
      <c r="T76">
        <f>Q76+0.5</f>
        <v/>
      </c>
    </row>
    <row r="77" ht="16" customHeight="1">
      <c r="O77">
        <f>(INT(D77)*60+(D77-INT(D77))*100)-(INT($D$2)*60+($D$2-INT($D$2))*100)</f>
        <v/>
      </c>
      <c r="P77">
        <f>(INT(E77)*60+(E77-INT(E77))*100)-(INT($D$2)*60+($D$2-INT($D$2))*100)</f>
        <v/>
      </c>
      <c r="Q77">
        <f>P77-O77</f>
        <v/>
      </c>
      <c r="R77">
        <f>IF(Q77=0,"&lt;1 second","&lt;"&amp;(ROUND(Q77,2)+1)&amp;" seconds")</f>
        <v/>
      </c>
      <c r="S77">
        <f>Q77+1</f>
        <v/>
      </c>
      <c r="T77">
        <f>Q77+0.5</f>
        <v/>
      </c>
    </row>
    <row r="78" ht="16" customHeight="1">
      <c r="O78">
        <f>(INT(D78)*60+(D78-INT(D78))*100)-(INT($D$2)*60+($D$2-INT($D$2))*100)</f>
        <v/>
      </c>
      <c r="P78">
        <f>(INT(E78)*60+(E78-INT(E78))*100)-(INT($D$2)*60+($D$2-INT($D$2))*100)</f>
        <v/>
      </c>
      <c r="Q78">
        <f>P78-O78</f>
        <v/>
      </c>
      <c r="R78">
        <f>IF(Q78=0,"&lt;1 second","&lt;"&amp;(ROUND(Q78,2)+1)&amp;" seconds")</f>
        <v/>
      </c>
      <c r="S78">
        <f>Q78+1</f>
        <v/>
      </c>
      <c r="T78">
        <f>Q78+0.5</f>
        <v/>
      </c>
    </row>
    <row r="79" ht="16" customHeight="1">
      <c r="O79">
        <f>(INT(D79)*60+(D79-INT(D79))*100)-(INT($D$2)*60+($D$2-INT($D$2))*100)</f>
        <v/>
      </c>
      <c r="P79">
        <f>(INT(E79)*60+(E79-INT(E79))*100)-(INT($D$2)*60+($D$2-INT($D$2))*100)</f>
        <v/>
      </c>
      <c r="Q79">
        <f>P79-O79</f>
        <v/>
      </c>
      <c r="R79">
        <f>IF(Q79=0,"&lt;1 second","&lt;"&amp;(ROUND(Q79,2)+1)&amp;" seconds")</f>
        <v/>
      </c>
      <c r="S79">
        <f>Q79+1</f>
        <v/>
      </c>
      <c r="T79">
        <f>Q79+0.5</f>
        <v/>
      </c>
    </row>
    <row r="80" ht="16" customHeight="1">
      <c r="O80">
        <f>(INT(D80)*60+(D80-INT(D80))*100)-(INT($D$2)*60+($D$2-INT($D$2))*100)</f>
        <v/>
      </c>
      <c r="P80">
        <f>(INT(E80)*60+(E80-INT(E80))*100)-(INT($D$2)*60+($D$2-INT($D$2))*100)</f>
        <v/>
      </c>
      <c r="Q80">
        <f>P80-O80</f>
        <v/>
      </c>
      <c r="R80">
        <f>IF(Q80=0,"&lt;1 second","&lt;"&amp;(ROUND(Q80,2)+1)&amp;" seconds")</f>
        <v/>
      </c>
      <c r="S80">
        <f>Q80+1</f>
        <v/>
      </c>
      <c r="T80">
        <f>Q80+0.5</f>
        <v/>
      </c>
    </row>
    <row r="81" ht="16" customHeight="1">
      <c r="O81">
        <f>(INT(D81)*60+(D81-INT(D81))*100)-(INT($D$2)*60+($D$2-INT($D$2))*100)</f>
        <v/>
      </c>
      <c r="P81">
        <f>(INT(E81)*60+(E81-INT(E81))*100)-(INT($D$2)*60+($D$2-INT($D$2))*100)</f>
        <v/>
      </c>
      <c r="Q81">
        <f>P81-O81</f>
        <v/>
      </c>
      <c r="R81">
        <f>IF(Q81=0,"&lt;1 second","&lt;"&amp;(ROUND(Q81,2)+1)&amp;" seconds")</f>
        <v/>
      </c>
      <c r="S81">
        <f>Q81+1</f>
        <v/>
      </c>
      <c r="T81">
        <f>Q81+0.5</f>
        <v/>
      </c>
    </row>
    <row r="82" ht="16" customHeight="1">
      <c r="O82">
        <f>(INT(D82)*60+(D82-INT(D82))*100)-(INT($D$2)*60+($D$2-INT($D$2))*100)</f>
        <v/>
      </c>
      <c r="P82">
        <f>(INT(E82)*60+(E82-INT(E82))*100)-(INT($D$2)*60+($D$2-INT($D$2))*100)</f>
        <v/>
      </c>
      <c r="Q82">
        <f>P82-O82</f>
        <v/>
      </c>
      <c r="R82">
        <f>IF(Q82=0,"&lt;1 second","&lt;"&amp;(ROUND(Q82,2)+1)&amp;" seconds")</f>
        <v/>
      </c>
      <c r="S82">
        <f>Q82+1</f>
        <v/>
      </c>
      <c r="T82">
        <f>Q82+0.5</f>
        <v/>
      </c>
    </row>
    <row r="83" ht="16" customHeight="1">
      <c r="O83">
        <f>(INT(D83)*60+(D83-INT(D83))*100)-(INT($D$2)*60+($D$2-INT($D$2))*100)</f>
        <v/>
      </c>
      <c r="P83">
        <f>(INT(E83)*60+(E83-INT(E83))*100)-(INT($D$2)*60+($D$2-INT($D$2))*100)</f>
        <v/>
      </c>
      <c r="Q83">
        <f>P83-O83</f>
        <v/>
      </c>
      <c r="R83">
        <f>IF(Q83=0,"&lt;1 second","&lt;"&amp;(ROUND(Q83,2)+1)&amp;" seconds")</f>
        <v/>
      </c>
      <c r="S83">
        <f>Q83+1</f>
        <v/>
      </c>
      <c r="T83">
        <f>Q83+0.5</f>
        <v/>
      </c>
    </row>
    <row r="84" ht="16" customHeight="1">
      <c r="O84">
        <f>(INT(D84)*60+(D84-INT(D84))*100)-(INT($D$2)*60+($D$2-INT($D$2))*100)</f>
        <v/>
      </c>
      <c r="P84">
        <f>(INT(E84)*60+(E84-INT(E84))*100)-(INT($D$2)*60+($D$2-INT($D$2))*100)</f>
        <v/>
      </c>
      <c r="Q84">
        <f>P84-O84</f>
        <v/>
      </c>
      <c r="R84">
        <f>IF(Q84=0,"&lt;1 second","&lt;"&amp;(ROUND(Q84,2)+1)&amp;" seconds")</f>
        <v/>
      </c>
      <c r="S84">
        <f>Q84+1</f>
        <v/>
      </c>
      <c r="T84">
        <f>Q84+0.5</f>
        <v/>
      </c>
    </row>
    <row r="85" ht="16" customHeight="1">
      <c r="O85">
        <f>(INT(D85)*60+(D85-INT(D85))*100)-(INT($D$2)*60+($D$2-INT($D$2))*100)</f>
        <v/>
      </c>
      <c r="P85">
        <f>(INT(E85)*60+(E85-INT(E85))*100)-(INT($D$2)*60+($D$2-INT($D$2))*100)</f>
        <v/>
      </c>
      <c r="Q85">
        <f>P85-O85</f>
        <v/>
      </c>
      <c r="R85">
        <f>IF(Q85=0,"&lt;1 second","&lt;"&amp;(ROUND(Q85,2)+1)&amp;" seconds")</f>
        <v/>
      </c>
      <c r="S85">
        <f>Q85+1</f>
        <v/>
      </c>
      <c r="T85">
        <f>Q85+0.5</f>
        <v/>
      </c>
    </row>
    <row r="86" ht="16" customHeight="1">
      <c r="O86">
        <f>(INT(D86)*60+(D86-INT(D86))*100)-(INT($D$2)*60+($D$2-INT($D$2))*100)</f>
        <v/>
      </c>
      <c r="P86">
        <f>(INT(E86)*60+(E86-INT(E86))*100)-(INT($D$2)*60+($D$2-INT($D$2))*100)</f>
        <v/>
      </c>
      <c r="Q86">
        <f>P86-O86</f>
        <v/>
      </c>
      <c r="R86">
        <f>IF(Q86=0,"&lt;1 second","&lt;"&amp;(ROUND(Q86,2)+1)&amp;" seconds")</f>
        <v/>
      </c>
      <c r="S86">
        <f>Q86+1</f>
        <v/>
      </c>
      <c r="T86">
        <f>Q86+0.5</f>
        <v/>
      </c>
    </row>
    <row r="87" ht="16" customHeight="1">
      <c r="O87">
        <f>(INT(D87)*60+(D87-INT(D87))*100)-(INT($D$2)*60+($D$2-INT($D$2))*100)</f>
        <v/>
      </c>
      <c r="P87">
        <f>(INT(E87)*60+(E87-INT(E87))*100)-(INT($D$2)*60+($D$2-INT($D$2))*100)</f>
        <v/>
      </c>
      <c r="Q87">
        <f>P87-O87</f>
        <v/>
      </c>
      <c r="R87">
        <f>IF(Q87=0,"&lt;1 second","&lt;"&amp;(ROUND(Q87,2)+1)&amp;" seconds")</f>
        <v/>
      </c>
      <c r="S87">
        <f>Q87+1</f>
        <v/>
      </c>
      <c r="T87">
        <f>Q87+0.5</f>
        <v/>
      </c>
    </row>
    <row r="88" ht="16" customHeight="1">
      <c r="O88">
        <f>(INT(D88)*60+(D88-INT(D88))*100)-(INT($D$2)*60+($D$2-INT($D$2))*100)</f>
        <v/>
      </c>
      <c r="P88">
        <f>(INT(E88)*60+(E88-INT(E88))*100)-(INT($D$2)*60+($D$2-INT($D$2))*100)</f>
        <v/>
      </c>
      <c r="Q88">
        <f>P88-O88</f>
        <v/>
      </c>
      <c r="R88">
        <f>IF(Q88=0,"&lt;1 second","&lt;"&amp;(ROUND(Q88,2)+1)&amp;" seconds")</f>
        <v/>
      </c>
      <c r="S88">
        <f>Q88+1</f>
        <v/>
      </c>
      <c r="T88">
        <f>Q88+0.5</f>
        <v/>
      </c>
    </row>
    <row r="89" ht="16" customHeight="1">
      <c r="O89">
        <f>(INT(D89)*60+(D89-INT(D89))*100)-(INT($D$2)*60+($D$2-INT($D$2))*100)</f>
        <v/>
      </c>
      <c r="P89">
        <f>(INT(E89)*60+(E89-INT(E89))*100)-(INT($D$2)*60+($D$2-INT($D$2))*100)</f>
        <v/>
      </c>
      <c r="Q89">
        <f>P89-O89</f>
        <v/>
      </c>
      <c r="R89">
        <f>IF(Q89=0,"&lt;1 second","&lt;"&amp;(ROUND(Q89,2)+1)&amp;" seconds")</f>
        <v/>
      </c>
      <c r="S89">
        <f>Q89+1</f>
        <v/>
      </c>
      <c r="T89">
        <f>Q89+0.5</f>
        <v/>
      </c>
    </row>
    <row r="90" ht="16" customHeight="1">
      <c r="O90">
        <f>(INT(D90)*60+(D90-INT(D90))*100)-(INT($D$2)*60+($D$2-INT($D$2))*100)</f>
        <v/>
      </c>
      <c r="P90">
        <f>(INT(E90)*60+(E90-INT(E90))*100)-(INT($D$2)*60+($D$2-INT($D$2))*100)</f>
        <v/>
      </c>
      <c r="Q90">
        <f>P90-O90</f>
        <v/>
      </c>
      <c r="R90">
        <f>IF(Q90=0,"&lt;1 second","&lt;"&amp;(ROUND(Q90,2)+1)&amp;" seconds")</f>
        <v/>
      </c>
      <c r="S90">
        <f>Q90+1</f>
        <v/>
      </c>
      <c r="T90">
        <f>Q90+0.5</f>
        <v/>
      </c>
    </row>
    <row r="91" ht="16" customHeight="1">
      <c r="O91">
        <f>(INT(D91)*60+(D91-INT(D91))*100)-(INT($D$2)*60+($D$2-INT($D$2))*100)</f>
        <v/>
      </c>
      <c r="P91">
        <f>(INT(E91)*60+(E91-INT(E91))*100)-(INT($D$2)*60+($D$2-INT($D$2))*100)</f>
        <v/>
      </c>
      <c r="Q91">
        <f>P91-O91</f>
        <v/>
      </c>
      <c r="R91">
        <f>IF(Q91=0,"&lt;1 second","&lt;"&amp;(ROUND(Q91,2)+1)&amp;" seconds")</f>
        <v/>
      </c>
      <c r="S91">
        <f>Q91+1</f>
        <v/>
      </c>
      <c r="T91">
        <f>Q91+0.5</f>
        <v/>
      </c>
    </row>
    <row r="92" ht="16" customHeight="1">
      <c r="O92">
        <f>(INT(D92)*60+(D92-INT(D92))*100)-(INT($D$2)*60+($D$2-INT($D$2))*100)</f>
        <v/>
      </c>
      <c r="P92">
        <f>(INT(E92)*60+(E92-INT(E92))*100)-(INT($D$2)*60+($D$2-INT($D$2))*100)</f>
        <v/>
      </c>
      <c r="Q92">
        <f>P92-O92</f>
        <v/>
      </c>
      <c r="R92">
        <f>IF(Q92=0,"&lt;1 second","&lt;"&amp;(ROUND(Q92,2)+1)&amp;" seconds")</f>
        <v/>
      </c>
      <c r="S92">
        <f>Q92+1</f>
        <v/>
      </c>
      <c r="T92">
        <f>Q92+0.5</f>
        <v/>
      </c>
    </row>
    <row r="93" ht="16" customHeight="1">
      <c r="O93">
        <f>(INT(D93)*60+(D93-INT(D93))*100)-(INT($D$2)*60+($D$2-INT($D$2))*100)</f>
        <v/>
      </c>
      <c r="P93">
        <f>(INT(E93)*60+(E93-INT(E93))*100)-(INT($D$2)*60+($D$2-INT($D$2))*100)</f>
        <v/>
      </c>
      <c r="Q93">
        <f>P93-O93</f>
        <v/>
      </c>
      <c r="R93">
        <f>IF(Q93=0,"&lt;1 second","&lt;"&amp;(ROUND(Q93,2)+1)&amp;" seconds")</f>
        <v/>
      </c>
      <c r="S93">
        <f>Q93+1</f>
        <v/>
      </c>
      <c r="T93">
        <f>Q93+0.5</f>
        <v/>
      </c>
    </row>
    <row r="94" ht="16" customHeight="1">
      <c r="O94">
        <f>(INT(D94)*60+(D94-INT(D94))*100)-(INT($D$2)*60+($D$2-INT($D$2))*100)</f>
        <v/>
      </c>
      <c r="P94">
        <f>(INT(E94)*60+(E94-INT(E94))*100)-(INT($D$2)*60+($D$2-INT($D$2))*100)</f>
        <v/>
      </c>
      <c r="Q94">
        <f>P94-O94</f>
        <v/>
      </c>
      <c r="R94">
        <f>IF(Q94=0,"&lt;1 second","&lt;"&amp;(ROUND(Q94,2)+1)&amp;" seconds")</f>
        <v/>
      </c>
      <c r="S94">
        <f>Q94+1</f>
        <v/>
      </c>
      <c r="T94">
        <f>Q94+0.5</f>
        <v/>
      </c>
    </row>
    <row r="95" ht="16" customHeight="1">
      <c r="O95">
        <f>(INT(D95)*60+(D95-INT(D95))*100)-(INT($D$2)*60+($D$2-INT($D$2))*100)</f>
        <v/>
      </c>
      <c r="P95">
        <f>(INT(E95)*60+(E95-INT(E95))*100)-(INT($D$2)*60+($D$2-INT($D$2))*100)</f>
        <v/>
      </c>
      <c r="Q95">
        <f>P95-O95</f>
        <v/>
      </c>
      <c r="R95">
        <f>IF(Q95=0,"&lt;1 second","&lt;"&amp;(ROUND(Q95,2)+1)&amp;" seconds")</f>
        <v/>
      </c>
      <c r="S95">
        <f>Q95+1</f>
        <v/>
      </c>
      <c r="T95">
        <f>Q95+0.5</f>
        <v/>
      </c>
    </row>
    <row r="96" ht="16" customHeight="1">
      <c r="O96">
        <f>(INT(D96)*60+(D96-INT(D96))*100)-(INT($D$2)*60+($D$2-INT($D$2))*100)</f>
        <v/>
      </c>
      <c r="P96">
        <f>(INT(E96)*60+(E96-INT(E96))*100)-(INT($D$2)*60+($D$2-INT($D$2))*100)</f>
        <v/>
      </c>
      <c r="Q96">
        <f>P96-O96</f>
        <v/>
      </c>
      <c r="R96">
        <f>IF(Q96=0,"&lt;1 second","&lt;"&amp;(ROUND(Q96,2)+1)&amp;" seconds")</f>
        <v/>
      </c>
      <c r="S96">
        <f>Q96+1</f>
        <v/>
      </c>
      <c r="T96">
        <f>Q96+0.5</f>
        <v/>
      </c>
    </row>
    <row r="97" ht="16" customHeight="1">
      <c r="O97">
        <f>(INT(D97)*60+(D97-INT(D97))*100)-(INT($D$2)*60+($D$2-INT($D$2))*100)</f>
        <v/>
      </c>
      <c r="P97">
        <f>(INT(E97)*60+(E97-INT(E97))*100)-(INT($D$2)*60+($D$2-INT($D$2))*100)</f>
        <v/>
      </c>
      <c r="Q97">
        <f>P97-O97</f>
        <v/>
      </c>
      <c r="R97">
        <f>IF(Q97=0,"&lt;1 second","&lt;"&amp;(ROUND(Q97,2)+1)&amp;" seconds")</f>
        <v/>
      </c>
      <c r="S97">
        <f>Q97+1</f>
        <v/>
      </c>
      <c r="T97">
        <f>Q97+0.5</f>
        <v/>
      </c>
    </row>
    <row r="98" ht="16" customHeight="1">
      <c r="O98">
        <f>(INT(D98)*60+(D98-INT(D98))*100)-(INT($D$2)*60+($D$2-INT($D$2))*100)</f>
        <v/>
      </c>
      <c r="P98">
        <f>(INT(E98)*60+(E98-INT(E98))*100)-(INT($D$2)*60+($D$2-INT($D$2))*100)</f>
        <v/>
      </c>
      <c r="Q98">
        <f>P98-O98</f>
        <v/>
      </c>
      <c r="R98">
        <f>IF(Q98=0,"&lt;1 second","&lt;"&amp;(ROUND(Q98,2)+1)&amp;" seconds")</f>
        <v/>
      </c>
      <c r="S98">
        <f>Q98+1</f>
        <v/>
      </c>
      <c r="T98">
        <f>Q98+0.5</f>
        <v/>
      </c>
    </row>
    <row r="99" ht="16" customHeight="1">
      <c r="O99">
        <f>(INT(D99)*60+(D99-INT(D99))*100)-(INT($D$2)*60+($D$2-INT($D$2))*100)</f>
        <v/>
      </c>
      <c r="P99">
        <f>(INT(E99)*60+(E99-INT(E99))*100)-(INT($D$2)*60+($D$2-INT($D$2))*100)</f>
        <v/>
      </c>
      <c r="Q99">
        <f>P99-O99</f>
        <v/>
      </c>
      <c r="R99">
        <f>IF(Q99=0,"&lt;1 second","&lt;"&amp;(ROUND(Q99,2)+1)&amp;" seconds")</f>
        <v/>
      </c>
      <c r="S99">
        <f>Q99+1</f>
        <v/>
      </c>
      <c r="T99">
        <f>Q99+0.5</f>
        <v/>
      </c>
    </row>
    <row r="100" ht="16" customHeight="1">
      <c r="O100">
        <f>(INT(D100)*60+(D100-INT(D100))*100)-(INT($D$2)*60+($D$2-INT($D$2))*100)</f>
        <v/>
      </c>
      <c r="P100">
        <f>(INT(E100)*60+(E100-INT(E100))*100)-(INT($D$2)*60+($D$2-INT($D$2))*100)</f>
        <v/>
      </c>
      <c r="Q100">
        <f>P100-O100</f>
        <v/>
      </c>
      <c r="R100">
        <f>IF(Q100=0,"&lt;1 second","&lt;"&amp;(ROUND(Q100,2)+1)&amp;" seconds")</f>
        <v/>
      </c>
      <c r="S100">
        <f>Q100+1</f>
        <v/>
      </c>
      <c r="T100">
        <f>Q100+0.5</f>
        <v/>
      </c>
    </row>
    <row r="101" ht="16" customHeight="1">
      <c r="O101">
        <f>(INT(D101)*60+(D101-INT(D101))*100)-(INT($D$2)*60+($D$2-INT($D$2))*100)</f>
        <v/>
      </c>
      <c r="P101">
        <f>(INT(E101)*60+(E101-INT(E101))*100)-(INT($D$2)*60+($D$2-INT($D$2))*100)</f>
        <v/>
      </c>
      <c r="Q101">
        <f>P101-O101</f>
        <v/>
      </c>
      <c r="R101">
        <f>IF(Q101=0,"&lt;1 second","&lt;"&amp;(ROUND(Q101,2)+1)&amp;" seconds")</f>
        <v/>
      </c>
      <c r="S101">
        <f>Q101+1</f>
        <v/>
      </c>
      <c r="T101">
        <f>Q101+0.5</f>
        <v/>
      </c>
    </row>
    <row r="102" ht="16" customHeight="1">
      <c r="O102">
        <f>(INT(D102)*60+(D102-INT(D102))*100)-(INT($D$2)*60+($D$2-INT($D$2))*100)</f>
        <v/>
      </c>
      <c r="P102">
        <f>(INT(E102)*60+(E102-INT(E102))*100)-(INT($D$2)*60+($D$2-INT($D$2))*100)</f>
        <v/>
      </c>
      <c r="Q102">
        <f>P102-O102</f>
        <v/>
      </c>
      <c r="R102">
        <f>IF(Q102=0,"&lt;1 second","&lt;"&amp;(ROUND(Q102,2)+1)&amp;" seconds")</f>
        <v/>
      </c>
      <c r="S102">
        <f>Q102+1</f>
        <v/>
      </c>
      <c r="T102">
        <f>Q102+0.5</f>
        <v/>
      </c>
    </row>
    <row r="103" ht="16" customHeight="1">
      <c r="O103">
        <f>(INT(D103)*60+(D103-INT(D103))*100)-(INT($D$2)*60+($D$2-INT($D$2))*100)</f>
        <v/>
      </c>
      <c r="P103">
        <f>(INT(E103)*60+(E103-INT(E103))*100)-(INT($D$2)*60+($D$2-INT($D$2))*100)</f>
        <v/>
      </c>
      <c r="Q103">
        <f>P103-O103</f>
        <v/>
      </c>
      <c r="R103">
        <f>IF(Q103=0,"&lt;1 second","&lt;"&amp;(ROUND(Q103,2)+1)&amp;" seconds")</f>
        <v/>
      </c>
      <c r="S103">
        <f>Q103+1</f>
        <v/>
      </c>
      <c r="T103">
        <f>Q103+0.5</f>
        <v/>
      </c>
    </row>
    <row r="104" ht="16" customHeight="1">
      <c r="O104">
        <f>(INT(D104)*60+(D104-INT(D104))*100)-(INT($D$2)*60+($D$2-INT($D$2))*100)</f>
        <v/>
      </c>
      <c r="P104">
        <f>(INT(E104)*60+(E104-INT(E104))*100)-(INT($D$2)*60+($D$2-INT($D$2))*100)</f>
        <v/>
      </c>
      <c r="Q104">
        <f>P104-O104</f>
        <v/>
      </c>
      <c r="R104">
        <f>IF(Q104=0,"&lt;1 second","&lt;"&amp;(ROUND(Q104,2)+1)&amp;" seconds")</f>
        <v/>
      </c>
      <c r="S104">
        <f>Q104+1</f>
        <v/>
      </c>
      <c r="T104">
        <f>Q104+0.5</f>
        <v/>
      </c>
    </row>
    <row r="105" ht="16" customHeight="1">
      <c r="O105">
        <f>(INT(D105)*60+(D105-INT(D105))*100)-(INT($D$2)*60+($D$2-INT($D$2))*100)</f>
        <v/>
      </c>
      <c r="P105">
        <f>(INT(E105)*60+(E105-INT(E105))*100)-(INT($D$2)*60+($D$2-INT($D$2))*100)</f>
        <v/>
      </c>
      <c r="Q105">
        <f>P105-O105</f>
        <v/>
      </c>
      <c r="R105">
        <f>IF(Q105=0,"&lt;1 second","&lt;"&amp;(ROUND(Q105,2)+1)&amp;" seconds")</f>
        <v/>
      </c>
      <c r="S105">
        <f>Q105+1</f>
        <v/>
      </c>
      <c r="T105">
        <f>Q105+0.5</f>
        <v/>
      </c>
    </row>
    <row r="106" ht="16" customHeight="1">
      <c r="O106">
        <f>(INT(D106)*60+(D106-INT(D106))*100)-(INT($D$2)*60+($D$2-INT($D$2))*100)</f>
        <v/>
      </c>
      <c r="P106">
        <f>(INT(E106)*60+(E106-INT(E106))*100)-(INT($D$2)*60+($D$2-INT($D$2))*100)</f>
        <v/>
      </c>
      <c r="Q106">
        <f>P106-O106</f>
        <v/>
      </c>
      <c r="R106">
        <f>IF(Q106=0,"&lt;1 second","&lt;"&amp;(ROUND(Q106,2)+1)&amp;" seconds")</f>
        <v/>
      </c>
      <c r="S106">
        <f>Q106+1</f>
        <v/>
      </c>
      <c r="T106">
        <f>Q106+0.5</f>
        <v/>
      </c>
    </row>
    <row r="107" ht="16" customHeight="1">
      <c r="O107">
        <f>(INT(D107)*60+(D107-INT(D107))*100)-(INT($D$2)*60+($D$2-INT($D$2))*100)</f>
        <v/>
      </c>
      <c r="P107">
        <f>(INT(E107)*60+(E107-INT(E107))*100)-(INT($D$2)*60+($D$2-INT($D$2))*100)</f>
        <v/>
      </c>
      <c r="Q107">
        <f>P107-O107</f>
        <v/>
      </c>
      <c r="R107">
        <f>IF(Q107=0,"&lt;1 second","&lt;"&amp;(ROUND(Q107,2)+1)&amp;" seconds")</f>
        <v/>
      </c>
      <c r="S107">
        <f>Q107+1</f>
        <v/>
      </c>
      <c r="T107">
        <f>Q107+0.5</f>
        <v/>
      </c>
    </row>
    <row r="108" ht="16" customHeight="1">
      <c r="O108">
        <f>(INT(D108)*60+(D108-INT(D108))*100)-(INT($D$2)*60+($D$2-INT($D$2))*100)</f>
        <v/>
      </c>
      <c r="P108">
        <f>(INT(E108)*60+(E108-INT(E108))*100)-(INT($D$2)*60+($D$2-INT($D$2))*100)</f>
        <v/>
      </c>
      <c r="Q108">
        <f>P108-O108</f>
        <v/>
      </c>
      <c r="R108">
        <f>IF(Q108=0,"&lt;1 second","&lt;"&amp;(ROUND(Q108,2)+1)&amp;" seconds")</f>
        <v/>
      </c>
      <c r="S108">
        <f>Q108+1</f>
        <v/>
      </c>
      <c r="T108">
        <f>Q108+0.5</f>
        <v/>
      </c>
    </row>
    <row r="109" ht="16" customHeight="1">
      <c r="O109">
        <f>(INT(D109)*60+(D109-INT(D109))*100)-(INT($D$2)*60+($D$2-INT($D$2))*100)</f>
        <v/>
      </c>
      <c r="P109">
        <f>(INT(E109)*60+(E109-INT(E109))*100)-(INT($D$2)*60+($D$2-INT($D$2))*100)</f>
        <v/>
      </c>
      <c r="Q109">
        <f>P109-O109</f>
        <v/>
      </c>
      <c r="R109">
        <f>IF(Q109=0,"&lt;1 second","&lt;"&amp;(ROUND(Q109,2)+1)&amp;" seconds")</f>
        <v/>
      </c>
      <c r="S109">
        <f>Q109+1</f>
        <v/>
      </c>
      <c r="T109">
        <f>Q109+0.5</f>
        <v/>
      </c>
    </row>
    <row r="110" ht="16" customHeight="1">
      <c r="O110">
        <f>(INT(D110)*60+(D110-INT(D110))*100)-(INT($D$2)*60+($D$2-INT($D$2))*100)</f>
        <v/>
      </c>
      <c r="P110">
        <f>(INT(E110)*60+(E110-INT(E110))*100)-(INT($D$2)*60+($D$2-INT($D$2))*100)</f>
        <v/>
      </c>
      <c r="Q110">
        <f>P110-O110</f>
        <v/>
      </c>
      <c r="R110">
        <f>IF(Q110=0,"&lt;1 second","&lt;"&amp;(ROUND(Q110,2)+1)&amp;" seconds")</f>
        <v/>
      </c>
      <c r="S110">
        <f>Q110+1</f>
        <v/>
      </c>
      <c r="T110">
        <f>Q110+0.5</f>
        <v/>
      </c>
    </row>
    <row r="111" ht="16" customHeight="1">
      <c r="O111">
        <f>(INT(D111)*60+(D111-INT(D111))*100)-(INT($D$2)*60+($D$2-INT($D$2))*100)</f>
        <v/>
      </c>
      <c r="P111">
        <f>(INT(E111)*60+(E111-INT(E111))*100)-(INT($D$2)*60+($D$2-INT($D$2))*100)</f>
        <v/>
      </c>
      <c r="Q111">
        <f>P111-O111</f>
        <v/>
      </c>
      <c r="R111">
        <f>IF(Q111=0,"&lt;1 second","&lt;"&amp;(ROUND(Q111,2)+1)&amp;" seconds")</f>
        <v/>
      </c>
      <c r="S111">
        <f>Q111+1</f>
        <v/>
      </c>
      <c r="T111">
        <f>Q111+0.5</f>
        <v/>
      </c>
    </row>
    <row r="112">
      <c r="O112">
        <f>(INT(D112)*60+(D112-INT(D112))*100)-(INT($D$2)*60+($D$2-INT($D$2))*100)</f>
        <v/>
      </c>
      <c r="P112">
        <f>(INT(E112)*60+(E112-INT(E112))*100)-(INT($D$2)*60+($D$2-INT($D$2))*100)</f>
        <v/>
      </c>
      <c r="Q112">
        <f>P112-O112</f>
        <v/>
      </c>
      <c r="R112">
        <f>IF(Q112=0,"&lt;1 second","&lt;"&amp;(ROUND(Q112,2)+1)&amp;" seconds")</f>
        <v/>
      </c>
      <c r="S112">
        <f>Q112+1</f>
        <v/>
      </c>
      <c r="T112">
        <f>Q112+0.5</f>
        <v/>
      </c>
    </row>
    <row r="113">
      <c r="O113">
        <f>(INT(D113)*60+(D113-INT(D113))*100)-(INT($D$2)*60+($D$2-INT($D$2))*100)</f>
        <v/>
      </c>
      <c r="P113">
        <f>(INT(E113)*60+(E113-INT(E113))*100)-(INT($D$2)*60+($D$2-INT($D$2))*100)</f>
        <v/>
      </c>
      <c r="Q113">
        <f>P113-O113</f>
        <v/>
      </c>
      <c r="R113">
        <f>IF(Q113=0,"&lt;1 second","&lt;"&amp;(ROUND(Q113,2)+1)&amp;" seconds")</f>
        <v/>
      </c>
      <c r="S113">
        <f>Q113+1</f>
        <v/>
      </c>
      <c r="T113">
        <f>Q113+0.5</f>
        <v/>
      </c>
    </row>
    <row r="114">
      <c r="O114">
        <f>(INT(D114)*60+(D114-INT(D114))*100)-(INT($D$2)*60+($D$2-INT($D$2))*100)</f>
        <v/>
      </c>
      <c r="P114">
        <f>(INT(E114)*60+(E114-INT(E114))*100)-(INT($D$2)*60+($D$2-INT($D$2))*100)</f>
        <v/>
      </c>
      <c r="Q114">
        <f>P114-O114</f>
        <v/>
      </c>
      <c r="R114">
        <f>IF(Q114=0,"&lt;1 second","&lt;"&amp;(ROUND(Q114,2)+1)&amp;" seconds")</f>
        <v/>
      </c>
      <c r="S114">
        <f>Q114+1</f>
        <v/>
      </c>
      <c r="T114">
        <f>Q114+0.5</f>
        <v/>
      </c>
    </row>
    <row r="115">
      <c r="O115">
        <f>(INT(D115)*60+(D115-INT(D115))*100)-(INT($D$2)*60+($D$2-INT($D$2))*100)</f>
        <v/>
      </c>
      <c r="P115">
        <f>(INT(E115)*60+(E115-INT(E115))*100)-(INT($D$2)*60+($D$2-INT($D$2))*100)</f>
        <v/>
      </c>
      <c r="Q115">
        <f>P115-O115</f>
        <v/>
      </c>
      <c r="R115">
        <f>IF(Q115=0,"&lt;1 second","&lt;"&amp;(ROUND(Q115,2)+1)&amp;" seconds")</f>
        <v/>
      </c>
      <c r="S115">
        <f>Q115+1</f>
        <v/>
      </c>
      <c r="T115">
        <f>Q115+0.5</f>
        <v/>
      </c>
    </row>
    <row r="116">
      <c r="O116">
        <f>(INT(D116)*60+(D116-INT(D116))*100)-(INT($D$2)*60+($D$2-INT($D$2))*100)</f>
        <v/>
      </c>
      <c r="P116">
        <f>(INT(E116)*60+(E116-INT(E116))*100)-(INT($D$2)*60+($D$2-INT($D$2))*100)</f>
        <v/>
      </c>
      <c r="Q116">
        <f>P116-O116</f>
        <v/>
      </c>
      <c r="R116">
        <f>IF(Q116=0,"&lt;1 second","&lt;"&amp;(ROUND(Q116,2)+1)&amp;" seconds")</f>
        <v/>
      </c>
      <c r="S116">
        <f>Q116+1</f>
        <v/>
      </c>
      <c r="T116">
        <f>Q116+0.5</f>
        <v/>
      </c>
    </row>
    <row r="117">
      <c r="O117">
        <f>(INT(D117)*60+(D117-INT(D117))*100)-(INT($D$2)*60+($D$2-INT($D$2))*100)</f>
        <v/>
      </c>
      <c r="P117">
        <f>(INT(E117)*60+(E117-INT(E117))*100)-(INT($D$2)*60+($D$2-INT($D$2))*100)</f>
        <v/>
      </c>
      <c r="Q117">
        <f>P117-O117</f>
        <v/>
      </c>
      <c r="R117">
        <f>IF(Q117=0,"&lt;1 second","&lt;"&amp;(ROUND(Q117,2)+1)&amp;" seconds")</f>
        <v/>
      </c>
      <c r="S117">
        <f>Q117+1</f>
        <v/>
      </c>
      <c r="T117">
        <f>Q117+0.5</f>
        <v/>
      </c>
    </row>
    <row r="118">
      <c r="O118">
        <f>(INT(D118)*60+(D118-INT(D118))*100)-(INT($D$2)*60+($D$2-INT($D$2))*100)</f>
        <v/>
      </c>
      <c r="P118">
        <f>(INT(E118)*60+(E118-INT(E118))*100)-(INT($D$2)*60+($D$2-INT($D$2))*100)</f>
        <v/>
      </c>
      <c r="Q118">
        <f>P118-O118</f>
        <v/>
      </c>
      <c r="R118">
        <f>IF(Q118=0,"&lt;1 second","&lt;"&amp;(ROUND(Q118,2)+1)&amp;" seconds")</f>
        <v/>
      </c>
      <c r="S118">
        <f>Q118+1</f>
        <v/>
      </c>
      <c r="T118">
        <f>Q118+0.5</f>
        <v/>
      </c>
    </row>
    <row r="119">
      <c r="O119">
        <f>(INT(D119)*60+(D119-INT(D119))*100)-(INT($D$2)*60+($D$2-INT($D$2))*100)</f>
        <v/>
      </c>
      <c r="P119">
        <f>(INT(E119)*60+(E119-INT(E119))*100)-(INT($D$2)*60+($D$2-INT($D$2))*100)</f>
        <v/>
      </c>
      <c r="Q119">
        <f>P119-O119</f>
        <v/>
      </c>
      <c r="R119">
        <f>IF(Q119=0,"&lt;1 second","&lt;"&amp;(ROUND(Q119,2)+1)&amp;" seconds")</f>
        <v/>
      </c>
      <c r="S119">
        <f>Q119+1</f>
        <v/>
      </c>
      <c r="T119">
        <f>Q119+0.5</f>
        <v/>
      </c>
    </row>
    <row r="120">
      <c r="O120">
        <f>(INT(D120)*60+(D120-INT(D120))*100)-(INT($D$2)*60+($D$2-INT($D$2))*100)</f>
        <v/>
      </c>
      <c r="P120">
        <f>(INT(E120)*60+(E120-INT(E120))*100)-(INT($D$2)*60+($D$2-INT($D$2))*100)</f>
        <v/>
      </c>
      <c r="Q120">
        <f>P120-O120</f>
        <v/>
      </c>
      <c r="R120">
        <f>IF(Q120=0,"&lt;1 second","&lt;"&amp;(ROUND(Q120,2)+1)&amp;" seconds")</f>
        <v/>
      </c>
      <c r="S120">
        <f>Q120+1</f>
        <v/>
      </c>
      <c r="T120">
        <f>Q120+0.5</f>
        <v/>
      </c>
    </row>
    <row r="121">
      <c r="O121">
        <f>(INT(D121)*60+(D121-INT(D121))*100)-(INT($D$2)*60+($D$2-INT($D$2))*100)</f>
        <v/>
      </c>
      <c r="P121">
        <f>(INT(E121)*60+(E121-INT(E121))*100)-(INT($D$2)*60+($D$2-INT($D$2))*100)</f>
        <v/>
      </c>
      <c r="Q121">
        <f>P121-O121</f>
        <v/>
      </c>
      <c r="R121">
        <f>IF(Q121=0,"&lt;1 second","&lt;"&amp;(ROUND(Q121,2)+1)&amp;" seconds")</f>
        <v/>
      </c>
      <c r="S121">
        <f>Q121+1</f>
        <v/>
      </c>
      <c r="T121">
        <f>Q121+0.5</f>
        <v/>
      </c>
    </row>
    <row r="122">
      <c r="O122">
        <f>(INT(D122)*60+(D122-INT(D122))*100)-(INT($D$2)*60+($D$2-INT($D$2))*100)</f>
        <v/>
      </c>
      <c r="P122">
        <f>(INT(E122)*60+(E122-INT(E122))*100)-(INT($D$2)*60+($D$2-INT($D$2))*100)</f>
        <v/>
      </c>
      <c r="Q122">
        <f>P122-O122</f>
        <v/>
      </c>
      <c r="R122">
        <f>IF(Q122=0,"&lt;1 second","&lt;"&amp;(ROUND(Q122,2)+1)&amp;" seconds")</f>
        <v/>
      </c>
      <c r="S122">
        <f>Q122+1</f>
        <v/>
      </c>
      <c r="T122">
        <f>Q122+0.5</f>
        <v/>
      </c>
    </row>
    <row r="123">
      <c r="O123">
        <f>(INT(D123)*60+(D123-INT(D123))*100)-(INT($D$2)*60+($D$2-INT($D$2))*100)</f>
        <v/>
      </c>
      <c r="P123">
        <f>(INT(E123)*60+(E123-INT(E123))*100)-(INT($D$2)*60+($D$2-INT($D$2))*100)</f>
        <v/>
      </c>
      <c r="Q123">
        <f>P123-O123</f>
        <v/>
      </c>
      <c r="R123">
        <f>IF(Q123=0,"&lt;1 second","&lt;"&amp;(ROUND(Q123,2)+1)&amp;" seconds")</f>
        <v/>
      </c>
      <c r="S123">
        <f>Q123+1</f>
        <v/>
      </c>
      <c r="T123">
        <f>Q123+0.5</f>
        <v/>
      </c>
    </row>
    <row r="124">
      <c r="O124">
        <f>(INT(D124)*60+(D124-INT(D124))*100)-(INT($D$2)*60+($D$2-INT($D$2))*100)</f>
        <v/>
      </c>
      <c r="P124">
        <f>(INT(E124)*60+(E124-INT(E124))*100)-(INT($D$2)*60+($D$2-INT($D$2))*100)</f>
        <v/>
      </c>
      <c r="Q124">
        <f>P124-O124</f>
        <v/>
      </c>
      <c r="R124">
        <f>IF(Q124=0,"&lt;1 second","&lt;"&amp;(ROUND(Q124,2)+1)&amp;" seconds")</f>
        <v/>
      </c>
      <c r="S124">
        <f>Q124+1</f>
        <v/>
      </c>
      <c r="T124">
        <f>Q124+0.5</f>
        <v/>
      </c>
    </row>
    <row r="125">
      <c r="O125">
        <f>(INT(D125)*60+(D125-INT(D125))*100)-(INT($D$2)*60+($D$2-INT($D$2))*100)</f>
        <v/>
      </c>
      <c r="P125">
        <f>(INT(E125)*60+(E125-INT(E125))*100)-(INT($D$2)*60+($D$2-INT($D$2))*100)</f>
        <v/>
      </c>
      <c r="Q125">
        <f>P125-O125</f>
        <v/>
      </c>
      <c r="R125">
        <f>IF(Q125=0,"&lt;1 second","&lt;"&amp;(ROUND(Q125,2)+1)&amp;" seconds")</f>
        <v/>
      </c>
      <c r="S125">
        <f>Q125+1</f>
        <v/>
      </c>
      <c r="T125">
        <f>Q125+0.5</f>
        <v/>
      </c>
    </row>
    <row r="126">
      <c r="O126">
        <f>(INT(D126)*60+(D126-INT(D126))*100)-(INT($D$2)*60+($D$2-INT($D$2))*100)</f>
        <v/>
      </c>
      <c r="P126">
        <f>(INT(E126)*60+(E126-INT(E126))*100)-(INT($D$2)*60+($D$2-INT($D$2))*100)</f>
        <v/>
      </c>
      <c r="Q126">
        <f>P126-O126</f>
        <v/>
      </c>
      <c r="R126">
        <f>IF(Q126=0,"&lt;1 second","&lt;"&amp;(ROUND(Q126,2)+1)&amp;" seconds")</f>
        <v/>
      </c>
      <c r="S126">
        <f>Q126+1</f>
        <v/>
      </c>
      <c r="T126">
        <f>Q126+0.5</f>
        <v/>
      </c>
    </row>
    <row r="127">
      <c r="O127">
        <f>(INT(D127)*60+(D127-INT(D127))*100)-(INT($D$2)*60+($D$2-INT($D$2))*100)</f>
        <v/>
      </c>
      <c r="P127">
        <f>(INT(E127)*60+(E127-INT(E127))*100)-(INT($D$2)*60+($D$2-INT($D$2))*100)</f>
        <v/>
      </c>
      <c r="Q127">
        <f>P127-O127</f>
        <v/>
      </c>
      <c r="R127">
        <f>IF(Q127=0,"&lt;1 second","&lt;"&amp;(ROUND(Q127,2)+1)&amp;" seconds")</f>
        <v/>
      </c>
      <c r="S127">
        <f>Q127+1</f>
        <v/>
      </c>
      <c r="T127">
        <f>Q127+0.5</f>
        <v/>
      </c>
    </row>
    <row r="128">
      <c r="O128">
        <f>(INT(D128)*60+(D128-INT(D128))*100)-(INT($D$2)*60+($D$2-INT($D$2))*100)</f>
        <v/>
      </c>
      <c r="P128">
        <f>(INT(E128)*60+(E128-INT(E128))*100)-(INT($D$2)*60+($D$2-INT($D$2))*100)</f>
        <v/>
      </c>
      <c r="Q128">
        <f>P128-O128</f>
        <v/>
      </c>
      <c r="R128">
        <f>IF(Q128=0,"&lt;1 second","&lt;"&amp;(ROUND(Q128,2)+1)&amp;" seconds")</f>
        <v/>
      </c>
      <c r="S128">
        <f>Q128+1</f>
        <v/>
      </c>
      <c r="T128">
        <f>Q128+0.5</f>
        <v/>
      </c>
    </row>
    <row r="129">
      <c r="O129">
        <f>(INT(D129)*60+(D129-INT(D129))*100)-(INT($D$2)*60+($D$2-INT($D$2))*100)</f>
        <v/>
      </c>
      <c r="P129">
        <f>(INT(E129)*60+(E129-INT(E129))*100)-(INT($D$2)*60+($D$2-INT($D$2))*100)</f>
        <v/>
      </c>
      <c r="Q129">
        <f>P129-O129</f>
        <v/>
      </c>
      <c r="R129">
        <f>IF(Q129=0,"&lt;1 second","&lt;"&amp;(ROUND(Q129,2)+1)&amp;" seconds")</f>
        <v/>
      </c>
      <c r="S129">
        <f>Q129+1</f>
        <v/>
      </c>
      <c r="T129">
        <f>Q129+0.5</f>
        <v/>
      </c>
    </row>
    <row r="130">
      <c r="O130">
        <f>(INT(D130)*60+(D130-INT(D130))*100)-(INT($D$2)*60+($D$2-INT($D$2))*100)</f>
        <v/>
      </c>
      <c r="P130">
        <f>(INT(E130)*60+(E130-INT(E130))*100)-(INT($D$2)*60+($D$2-INT($D$2))*100)</f>
        <v/>
      </c>
      <c r="Q130">
        <f>P130-O130</f>
        <v/>
      </c>
      <c r="R130">
        <f>IF(Q130=0,"&lt;1 second","&lt;"&amp;(ROUND(Q130,2)+1)&amp;" seconds")</f>
        <v/>
      </c>
      <c r="S130">
        <f>Q130+1</f>
        <v/>
      </c>
      <c r="T130">
        <f>Q130+0.5</f>
        <v/>
      </c>
    </row>
    <row r="131">
      <c r="O131">
        <f>(INT(D131)*60+(D131-INT(D131))*100)-(INT($D$2)*60+($D$2-INT($D$2))*100)</f>
        <v/>
      </c>
      <c r="P131">
        <f>(INT(E131)*60+(E131-INT(E131))*100)-(INT($D$2)*60+($D$2-INT($D$2))*100)</f>
        <v/>
      </c>
      <c r="Q131">
        <f>P131-O131</f>
        <v/>
      </c>
      <c r="R131">
        <f>IF(Q131=0,"&lt;1 second","&lt;"&amp;(ROUND(Q131,2)+1)&amp;" seconds")</f>
        <v/>
      </c>
      <c r="S131">
        <f>Q131+1</f>
        <v/>
      </c>
      <c r="T131">
        <f>Q131+0.5</f>
        <v/>
      </c>
    </row>
    <row r="132">
      <c r="O132">
        <f>(INT(D132)*60+(D132-INT(D132))*100)-(INT($D$2)*60+($D$2-INT($D$2))*100)</f>
        <v/>
      </c>
      <c r="P132">
        <f>(INT(E132)*60+(E132-INT(E132))*100)-(INT($D$2)*60+($D$2-INT($D$2))*100)</f>
        <v/>
      </c>
      <c r="Q132">
        <f>P132-O132</f>
        <v/>
      </c>
      <c r="R132">
        <f>IF(Q132=0,"&lt;1 second","&lt;"&amp;(ROUND(Q132,2)+1)&amp;" seconds")</f>
        <v/>
      </c>
      <c r="S132">
        <f>Q132+1</f>
        <v/>
      </c>
      <c r="T132">
        <f>Q132+0.5</f>
        <v/>
      </c>
    </row>
    <row r="133">
      <c r="O133">
        <f>(INT(D133)*60+(D133-INT(D133))*100)-(INT($D$2)*60+($D$2-INT($D$2))*100)</f>
        <v/>
      </c>
      <c r="P133">
        <f>(INT(E133)*60+(E133-INT(E133))*100)-(INT($D$2)*60+($D$2-INT($D$2))*100)</f>
        <v/>
      </c>
      <c r="Q133">
        <f>P133-O133</f>
        <v/>
      </c>
      <c r="R133">
        <f>IF(Q133=0,"&lt;1 second","&lt;"&amp;(ROUND(Q133,2)+1)&amp;" seconds")</f>
        <v/>
      </c>
      <c r="S133">
        <f>Q133+1</f>
        <v/>
      </c>
      <c r="T133">
        <f>Q133+0.5</f>
        <v/>
      </c>
    </row>
    <row r="134">
      <c r="O134">
        <f>(INT(D134)*60+(D134-INT(D134))*100)-(INT($D$2)*60+($D$2-INT($D$2))*100)</f>
        <v/>
      </c>
      <c r="P134">
        <f>(INT(E134)*60+(E134-INT(E134))*100)-(INT($D$2)*60+($D$2-INT($D$2))*100)</f>
        <v/>
      </c>
      <c r="Q134">
        <f>P134-O134</f>
        <v/>
      </c>
      <c r="R134">
        <f>IF(Q134=0,"&lt;1 second","&lt;"&amp;(ROUND(Q134,2)+1)&amp;" seconds")</f>
        <v/>
      </c>
      <c r="S134">
        <f>Q134+1</f>
        <v/>
      </c>
      <c r="T134">
        <f>Q134+0.5</f>
        <v/>
      </c>
    </row>
    <row r="135">
      <c r="O135">
        <f>(INT(D135)*60+(D135-INT(D135))*100)-(INT($D$2)*60+($D$2-INT($D$2))*100)</f>
        <v/>
      </c>
      <c r="P135">
        <f>(INT(E135)*60+(E135-INT(E135))*100)-(INT($D$2)*60+($D$2-INT($D$2))*100)</f>
        <v/>
      </c>
      <c r="Q135">
        <f>P135-O135</f>
        <v/>
      </c>
      <c r="R135">
        <f>IF(Q135=0,"&lt;1 second","&lt;"&amp;(ROUND(Q135,2)+1)&amp;" seconds")</f>
        <v/>
      </c>
      <c r="S135">
        <f>Q135+1</f>
        <v/>
      </c>
      <c r="T135">
        <f>Q135+0.5</f>
        <v/>
      </c>
    </row>
    <row r="136">
      <c r="O136">
        <f>(INT(D136)*60+(D136-INT(D136))*100)-(INT($D$2)*60+($D$2-INT($D$2))*100)</f>
        <v/>
      </c>
      <c r="P136">
        <f>(INT(E136)*60+(E136-INT(E136))*100)-(INT($D$2)*60+($D$2-INT($D$2))*100)</f>
        <v/>
      </c>
      <c r="Q136">
        <f>P136-O136</f>
        <v/>
      </c>
      <c r="R136">
        <f>IF(Q136=0,"&lt;1 second","&lt;"&amp;(ROUND(Q136,2)+1)&amp;" seconds")</f>
        <v/>
      </c>
      <c r="S136">
        <f>Q136+1</f>
        <v/>
      </c>
      <c r="T136">
        <f>Q136+0.5</f>
        <v/>
      </c>
    </row>
    <row r="137">
      <c r="O137">
        <f>(INT(D137)*60+(D137-INT(D137))*100)-(INT($D$2)*60+($D$2-INT($D$2))*100)</f>
        <v/>
      </c>
      <c r="P137">
        <f>(INT(E137)*60+(E137-INT(E137))*100)-(INT($D$2)*60+($D$2-INT($D$2))*100)</f>
        <v/>
      </c>
      <c r="Q137">
        <f>P137-O137</f>
        <v/>
      </c>
      <c r="R137">
        <f>IF(Q137=0,"&lt;1 second","&lt;"&amp;(ROUND(Q137,2)+1)&amp;" seconds")</f>
        <v/>
      </c>
      <c r="S137">
        <f>Q137+1</f>
        <v/>
      </c>
      <c r="T137">
        <f>Q137+0.5</f>
        <v/>
      </c>
    </row>
    <row r="138">
      <c r="O138">
        <f>(INT(D138)*60+(D138-INT(D138))*100)-(INT($D$2)*60+($D$2-INT($D$2))*100)</f>
        <v/>
      </c>
      <c r="P138">
        <f>(INT(E138)*60+(E138-INT(E138))*100)-(INT($D$2)*60+($D$2-INT($D$2))*100)</f>
        <v/>
      </c>
      <c r="Q138">
        <f>P138-O138</f>
        <v/>
      </c>
      <c r="R138">
        <f>IF(Q138=0,"&lt;1 second","&lt;"&amp;(ROUND(Q138,2)+1)&amp;" seconds")</f>
        <v/>
      </c>
      <c r="S138">
        <f>Q138+1</f>
        <v/>
      </c>
      <c r="T138">
        <f>Q138+0.5</f>
        <v/>
      </c>
    </row>
    <row r="139">
      <c r="O139">
        <f>(INT(D139)*60+(D139-INT(D139))*100)-(INT($D$2)*60+($D$2-INT($D$2))*100)</f>
        <v/>
      </c>
      <c r="P139">
        <f>(INT(E139)*60+(E139-INT(E139))*100)-(INT($D$2)*60+($D$2-INT($D$2))*100)</f>
        <v/>
      </c>
      <c r="Q139">
        <f>P139-O139</f>
        <v/>
      </c>
      <c r="R139">
        <f>IF(Q139=0,"&lt;1 second","&lt;"&amp;(ROUND(Q139,2)+1)&amp;" seconds")</f>
        <v/>
      </c>
      <c r="S139">
        <f>Q139+1</f>
        <v/>
      </c>
      <c r="T139">
        <f>Q139+0.5</f>
        <v/>
      </c>
    </row>
    <row r="140">
      <c r="O140">
        <f>(INT(D140)*60+(D140-INT(D140))*100)-(INT($D$2)*60+($D$2-INT($D$2))*100)</f>
        <v/>
      </c>
      <c r="P140">
        <f>(INT(E140)*60+(E140-INT(E140))*100)-(INT($D$2)*60+($D$2-INT($D$2))*100)</f>
        <v/>
      </c>
      <c r="Q140">
        <f>P140-O140</f>
        <v/>
      </c>
      <c r="R140">
        <f>IF(Q140=0,"&lt;1 second","&lt;"&amp;(ROUND(Q140,2)+1)&amp;" seconds")</f>
        <v/>
      </c>
      <c r="S140">
        <f>Q140+1</f>
        <v/>
      </c>
      <c r="T140">
        <f>Q140+0.5</f>
        <v/>
      </c>
    </row>
    <row r="141">
      <c r="O141">
        <f>(INT(D141)*60+(D141-INT(D141))*100)-(INT($D$2)*60+($D$2-INT($D$2))*100)</f>
        <v/>
      </c>
      <c r="P141">
        <f>(INT(E141)*60+(E141-INT(E141))*100)-(INT($D$2)*60+($D$2-INT($D$2))*100)</f>
        <v/>
      </c>
      <c r="Q141">
        <f>P141-O141</f>
        <v/>
      </c>
      <c r="R141">
        <f>IF(Q141=0,"&lt;1 second","&lt;"&amp;(ROUND(Q141,2)+1)&amp;" seconds")</f>
        <v/>
      </c>
      <c r="S141">
        <f>Q141+1</f>
        <v/>
      </c>
      <c r="T141">
        <f>Q141+0.5</f>
        <v/>
      </c>
    </row>
    <row r="142">
      <c r="O142">
        <f>(INT(D142)*60+(D142-INT(D142))*100)-(INT($D$2)*60+($D$2-INT($D$2))*100)</f>
        <v/>
      </c>
      <c r="P142">
        <f>(INT(E142)*60+(E142-INT(E142))*100)-(INT($D$2)*60+($D$2-INT($D$2))*100)</f>
        <v/>
      </c>
      <c r="Q142">
        <f>P142-O142</f>
        <v/>
      </c>
      <c r="R142">
        <f>IF(Q142=0,"&lt;1 second","&lt;"&amp;(ROUND(Q142,2)+1)&amp;" seconds")</f>
        <v/>
      </c>
      <c r="S142">
        <f>Q142+1</f>
        <v/>
      </c>
      <c r="T142">
        <f>Q142+0.5</f>
        <v/>
      </c>
    </row>
    <row r="143">
      <c r="O143">
        <f>(INT(D143)*60+(D143-INT(D143))*100)-(INT($D$2)*60+($D$2-INT($D$2))*100)</f>
        <v/>
      </c>
      <c r="P143">
        <f>(INT(E143)*60+(E143-INT(E143))*100)-(INT($D$2)*60+($D$2-INT($D$2))*100)</f>
        <v/>
      </c>
      <c r="Q143">
        <f>P143-O143</f>
        <v/>
      </c>
      <c r="R143">
        <f>IF(Q143=0,"&lt;1 second","&lt;"&amp;(ROUND(Q143,2)+1)&amp;" seconds")</f>
        <v/>
      </c>
      <c r="S143">
        <f>Q143+1</f>
        <v/>
      </c>
      <c r="T143">
        <f>Q143+0.5</f>
        <v/>
      </c>
    </row>
    <row r="144">
      <c r="O144">
        <f>(INT(D144)*60+(D144-INT(D144))*100)-(INT($D$2)*60+($D$2-INT($D$2))*100)</f>
        <v/>
      </c>
      <c r="P144">
        <f>(INT(E144)*60+(E144-INT(E144))*100)-(INT($D$2)*60+($D$2-INT($D$2))*100)</f>
        <v/>
      </c>
      <c r="Q144">
        <f>P144-O144</f>
        <v/>
      </c>
      <c r="R144">
        <f>IF(Q144=0,"&lt;1 second","&lt;"&amp;(ROUND(Q144,2)+1)&amp;" seconds")</f>
        <v/>
      </c>
      <c r="S144">
        <f>Q144+1</f>
        <v/>
      </c>
      <c r="T144">
        <f>Q144+0.5</f>
        <v/>
      </c>
    </row>
    <row r="145">
      <c r="O145">
        <f>(INT(D145)*60+(D145-INT(D145))*100)-(INT($D$2)*60+($D$2-INT($D$2))*100)</f>
        <v/>
      </c>
      <c r="P145">
        <f>(INT(E145)*60+(E145-INT(E145))*100)-(INT($D$2)*60+($D$2-INT($D$2))*100)</f>
        <v/>
      </c>
      <c r="Q145">
        <f>P145-O145</f>
        <v/>
      </c>
      <c r="R145">
        <f>IF(Q145=0,"&lt;1 second","&lt;"&amp;(ROUND(Q145,2)+1)&amp;" seconds")</f>
        <v/>
      </c>
      <c r="S145">
        <f>Q145+1</f>
        <v/>
      </c>
      <c r="T145">
        <f>Q145+0.5</f>
        <v/>
      </c>
    </row>
    <row r="146">
      <c r="O146">
        <f>(INT(D146)*60+(D146-INT(D146))*100)-(INT($D$2)*60+($D$2-INT($D$2))*100)</f>
        <v/>
      </c>
      <c r="P146">
        <f>(INT(E146)*60+(E146-INT(E146))*100)-(INT($D$2)*60+($D$2-INT($D$2))*100)</f>
        <v/>
      </c>
      <c r="Q146">
        <f>P146-O146</f>
        <v/>
      </c>
      <c r="R146">
        <f>IF(Q146=0,"&lt;1 second","&lt;"&amp;(ROUND(Q146,2)+1)&amp;" seconds")</f>
        <v/>
      </c>
      <c r="S146">
        <f>Q146+1</f>
        <v/>
      </c>
      <c r="T146">
        <f>Q146+0.5</f>
        <v/>
      </c>
    </row>
    <row r="147">
      <c r="O147">
        <f>(INT(D147)*60+(D147-INT(D147))*100)-(INT($D$2)*60+($D$2-INT($D$2))*100)</f>
        <v/>
      </c>
      <c r="P147">
        <f>(INT(E147)*60+(E147-INT(E147))*100)-(INT($D$2)*60+($D$2-INT($D$2))*100)</f>
        <v/>
      </c>
      <c r="Q147">
        <f>P147-O147</f>
        <v/>
      </c>
      <c r="R147">
        <f>IF(Q147=0,"&lt;1 second","&lt;"&amp;(ROUND(Q147,2)+1)&amp;" seconds")</f>
        <v/>
      </c>
      <c r="S147">
        <f>Q147+1</f>
        <v/>
      </c>
      <c r="T147">
        <f>Q147+0.5</f>
        <v/>
      </c>
    </row>
    <row r="148">
      <c r="O148">
        <f>(INT(D148)*60+(D148-INT(D148))*100)-(INT($D$2)*60+($D$2-INT($D$2))*100)</f>
        <v/>
      </c>
      <c r="P148">
        <f>(INT(E148)*60+(E148-INT(E148))*100)-(INT($D$2)*60+($D$2-INT($D$2))*100)</f>
        <v/>
      </c>
      <c r="Q148">
        <f>P148-O148</f>
        <v/>
      </c>
      <c r="R148">
        <f>IF(Q148=0,"&lt;1 second","&lt;"&amp;(ROUND(Q148,2)+1)&amp;" seconds")</f>
        <v/>
      </c>
      <c r="S148">
        <f>Q148+1</f>
        <v/>
      </c>
      <c r="T148">
        <f>Q148+0.5</f>
        <v/>
      </c>
    </row>
    <row r="149">
      <c r="O149">
        <f>(INT(D149)*60+(D149-INT(D149))*100)-(INT($D$2)*60+($D$2-INT($D$2))*100)</f>
        <v/>
      </c>
      <c r="P149">
        <f>(INT(E149)*60+(E149-INT(E149))*100)-(INT($D$2)*60+($D$2-INT($D$2))*100)</f>
        <v/>
      </c>
      <c r="Q149">
        <f>P149-O149</f>
        <v/>
      </c>
      <c r="R149">
        <f>IF(Q149=0,"&lt;1 second","&lt;"&amp;(ROUND(Q149,2)+1)&amp;" seconds")</f>
        <v/>
      </c>
      <c r="S149">
        <f>Q149+1</f>
        <v/>
      </c>
      <c r="T149">
        <f>Q149+0.5</f>
        <v/>
      </c>
    </row>
    <row r="150">
      <c r="O150">
        <f>(INT(D150)*60+(D150-INT(D150))*100)-(INT($D$2)*60+($D$2-INT($D$2))*100)</f>
        <v/>
      </c>
      <c r="P150">
        <f>(INT(E150)*60+(E150-INT(E150))*100)-(INT($D$2)*60+($D$2-INT($D$2))*100)</f>
        <v/>
      </c>
      <c r="Q150">
        <f>P150-O150</f>
        <v/>
      </c>
      <c r="R150">
        <f>IF(Q150=0,"&lt;1 second","&lt;"&amp;(ROUND(Q150,2)+1)&amp;" seconds")</f>
        <v/>
      </c>
      <c r="S150">
        <f>Q150+1</f>
        <v/>
      </c>
      <c r="T150">
        <f>Q150+0.5</f>
        <v/>
      </c>
    </row>
    <row r="151">
      <c r="O151">
        <f>(INT(D151)*60+(D151-INT(D151))*100)-(INT($D$2)*60+($D$2-INT($D$2))*100)</f>
        <v/>
      </c>
      <c r="P151">
        <f>(INT(E151)*60+(E151-INT(E151))*100)-(INT($D$2)*60+($D$2-INT($D$2))*100)</f>
        <v/>
      </c>
      <c r="Q151">
        <f>P151-O151</f>
        <v/>
      </c>
      <c r="R151">
        <f>IF(Q151=0,"&lt;1 second","&lt;"&amp;(ROUND(Q151,2)+1)&amp;" seconds")</f>
        <v/>
      </c>
      <c r="S151">
        <f>Q151+1</f>
        <v/>
      </c>
      <c r="T151">
        <f>Q151+0.5</f>
        <v/>
      </c>
    </row>
    <row r="152">
      <c r="O152">
        <f>(INT(D152)*60+(D152-INT(D152))*100)-(INT($D$2)*60+($D$2-INT($D$2))*100)</f>
        <v/>
      </c>
      <c r="P152">
        <f>(INT(E152)*60+(E152-INT(E152))*100)-(INT($D$2)*60+($D$2-INT($D$2))*100)</f>
        <v/>
      </c>
      <c r="Q152">
        <f>P152-O152</f>
        <v/>
      </c>
      <c r="R152">
        <f>IF(Q152=0,"&lt;1 second","&lt;"&amp;(ROUND(Q152,2)+1)&amp;" seconds")</f>
        <v/>
      </c>
      <c r="S152">
        <f>Q152+1</f>
        <v/>
      </c>
      <c r="T152">
        <f>Q152+0.5</f>
        <v/>
      </c>
    </row>
    <row r="153">
      <c r="O153">
        <f>(INT(D153)*60+(D153-INT(D153))*100)-(INT($D$2)*60+($D$2-INT($D$2))*100)</f>
        <v/>
      </c>
      <c r="P153">
        <f>(INT(E153)*60+(E153-INT(E153))*100)-(INT($D$2)*60+($D$2-INT($D$2))*100)</f>
        <v/>
      </c>
      <c r="Q153">
        <f>P153-O153</f>
        <v/>
      </c>
      <c r="R153">
        <f>IF(Q153=0,"&lt;1 second","&lt;"&amp;(ROUND(Q153,2)+1)&amp;" seconds")</f>
        <v/>
      </c>
      <c r="S153">
        <f>Q153+1</f>
        <v/>
      </c>
      <c r="T153">
        <f>Q153+0.5</f>
        <v/>
      </c>
    </row>
    <row r="154">
      <c r="O154">
        <f>(INT(D154)*60+(D154-INT(D154))*100)-(INT($D$2)*60+($D$2-INT($D$2))*100)</f>
        <v/>
      </c>
      <c r="P154">
        <f>(INT(E154)*60+(E154-INT(E154))*100)-(INT($D$2)*60+($D$2-INT($D$2))*100)</f>
        <v/>
      </c>
      <c r="Q154">
        <f>P154-O154</f>
        <v/>
      </c>
      <c r="R154">
        <f>IF(Q154=0,"&lt;1 second","&lt;"&amp;(ROUND(Q154,2)+1)&amp;" seconds")</f>
        <v/>
      </c>
      <c r="S154">
        <f>Q154+1</f>
        <v/>
      </c>
      <c r="T154">
        <f>Q154+0.5</f>
        <v/>
      </c>
    </row>
    <row r="155">
      <c r="O155">
        <f>(INT(D155)*60+(D155-INT(D155))*100)-(INT($D$2)*60+($D$2-INT($D$2))*100)</f>
        <v/>
      </c>
      <c r="P155">
        <f>(INT(E155)*60+(E155-INT(E155))*100)-(INT($D$2)*60+($D$2-INT($D$2))*100)</f>
        <v/>
      </c>
      <c r="Q155">
        <f>P155-O155</f>
        <v/>
      </c>
      <c r="R155">
        <f>IF(Q155=0,"&lt;1 second","&lt;"&amp;(ROUND(Q155,2)+1)&amp;" seconds")</f>
        <v/>
      </c>
      <c r="S155">
        <f>Q155+1</f>
        <v/>
      </c>
      <c r="T155">
        <f>Q155+0.5</f>
        <v/>
      </c>
    </row>
    <row r="156">
      <c r="O156">
        <f>(INT(D156)*60+(D156-INT(D156))*100)-(INT($D$2)*60+($D$2-INT($D$2))*100)</f>
        <v/>
      </c>
      <c r="P156">
        <f>(INT(E156)*60+(E156-INT(E156))*100)-(INT($D$2)*60+($D$2-INT($D$2))*100)</f>
        <v/>
      </c>
      <c r="Q156">
        <f>P156-O156</f>
        <v/>
      </c>
      <c r="R156">
        <f>IF(Q156=0,"&lt;1 second","&lt;"&amp;(ROUND(Q156,2)+1)&amp;" seconds")</f>
        <v/>
      </c>
      <c r="S156">
        <f>Q156+1</f>
        <v/>
      </c>
      <c r="T156">
        <f>Q156+0.5</f>
        <v/>
      </c>
    </row>
    <row r="157">
      <c r="O157">
        <f>(INT(D157)*60+(D157-INT(D157))*100)-(INT($D$2)*60+($D$2-INT($D$2))*100)</f>
        <v/>
      </c>
      <c r="P157">
        <f>(INT(E157)*60+(E157-INT(E157))*100)-(INT($D$2)*60+($D$2-INT($D$2))*100)</f>
        <v/>
      </c>
      <c r="Q157">
        <f>P157-O157</f>
        <v/>
      </c>
      <c r="R157">
        <f>IF(Q157=0,"&lt;1 second","&lt;"&amp;(ROUND(Q157,2)+1)&amp;" seconds")</f>
        <v/>
      </c>
      <c r="S157">
        <f>Q157+1</f>
        <v/>
      </c>
      <c r="T157">
        <f>Q157+0.5</f>
        <v/>
      </c>
    </row>
    <row r="158">
      <c r="O158">
        <f>(INT(D158)*60+(D158-INT(D158))*100)-(INT($D$2)*60+($D$2-INT($D$2))*100)</f>
        <v/>
      </c>
      <c r="P158">
        <f>(INT(E158)*60+(E158-INT(E158))*100)-(INT($D$2)*60+($D$2-INT($D$2))*100)</f>
        <v/>
      </c>
      <c r="Q158">
        <f>P158-O158</f>
        <v/>
      </c>
      <c r="R158">
        <f>IF(Q158=0,"&lt;1 second","&lt;"&amp;(ROUND(Q158,2)+1)&amp;" seconds")</f>
        <v/>
      </c>
      <c r="S158">
        <f>Q158+1</f>
        <v/>
      </c>
      <c r="T158">
        <f>Q158+0.5</f>
        <v/>
      </c>
    </row>
    <row r="159">
      <c r="O159">
        <f>(INT(D159)*60+(D159-INT(D159))*100)-(INT($D$2)*60+($D$2-INT($D$2))*100)</f>
        <v/>
      </c>
      <c r="P159">
        <f>(INT(E159)*60+(E159-INT(E159))*100)-(INT($D$2)*60+($D$2-INT($D$2))*100)</f>
        <v/>
      </c>
      <c r="Q159">
        <f>P159-O159</f>
        <v/>
      </c>
      <c r="R159">
        <f>IF(Q159=0,"&lt;1 second","&lt;"&amp;(ROUND(Q159,2)+1)&amp;" seconds")</f>
        <v/>
      </c>
      <c r="S159">
        <f>Q159+1</f>
        <v/>
      </c>
      <c r="T159">
        <f>Q159+0.5</f>
        <v/>
      </c>
    </row>
    <row r="160">
      <c r="O160">
        <f>(INT(D160)*60+(D160-INT(D160))*100)-(INT($D$2)*60+($D$2-INT($D$2))*100)</f>
        <v/>
      </c>
      <c r="P160">
        <f>(INT(E160)*60+(E160-INT(E160))*100)-(INT($D$2)*60+($D$2-INT($D$2))*100)</f>
        <v/>
      </c>
      <c r="Q160">
        <f>P160-O160</f>
        <v/>
      </c>
      <c r="R160">
        <f>IF(Q160=0,"&lt;1 second","&lt;"&amp;(ROUND(Q160,2)+1)&amp;" seconds")</f>
        <v/>
      </c>
      <c r="S160">
        <f>Q160+1</f>
        <v/>
      </c>
      <c r="T160">
        <f>Q160+0.5</f>
        <v/>
      </c>
    </row>
    <row r="161">
      <c r="O161">
        <f>(INT(D161)*60+(D161-INT(D161))*100)-(INT($D$2)*60+($D$2-INT($D$2))*100)</f>
        <v/>
      </c>
      <c r="P161">
        <f>(INT(E161)*60+(E161-INT(E161))*100)-(INT($D$2)*60+($D$2-INT($D$2))*100)</f>
        <v/>
      </c>
      <c r="Q161">
        <f>P161-O161</f>
        <v/>
      </c>
      <c r="R161">
        <f>IF(Q161=0,"&lt;1 second","&lt;"&amp;(ROUND(Q161,2)+1)&amp;" seconds")</f>
        <v/>
      </c>
      <c r="S161">
        <f>Q161+1</f>
        <v/>
      </c>
      <c r="T161">
        <f>Q161+0.5</f>
        <v/>
      </c>
    </row>
    <row r="162">
      <c r="O162">
        <f>(INT(D162)*60+(D162-INT(D162))*100)-(INT($D$2)*60+($D$2-INT($D$2))*100)</f>
        <v/>
      </c>
      <c r="P162">
        <f>(INT(E162)*60+(E162-INT(E162))*100)-(INT($D$2)*60+($D$2-INT($D$2))*100)</f>
        <v/>
      </c>
      <c r="Q162">
        <f>P162-O162</f>
        <v/>
      </c>
      <c r="R162">
        <f>IF(Q162=0,"&lt;1 second","&lt;"&amp;(ROUND(Q162,2)+1)&amp;" seconds")</f>
        <v/>
      </c>
      <c r="S162">
        <f>Q162+1</f>
        <v/>
      </c>
      <c r="T162">
        <f>Q162+0.5</f>
        <v/>
      </c>
    </row>
    <row r="163">
      <c r="O163">
        <f>(INT(D163)*60+(D163-INT(D163))*100)-(INT($D$2)*60+($D$2-INT($D$2))*100)</f>
        <v/>
      </c>
      <c r="P163">
        <f>(INT(E163)*60+(E163-INT(E163))*100)-(INT($D$2)*60+($D$2-INT($D$2))*100)</f>
        <v/>
      </c>
      <c r="Q163">
        <f>P163-O163</f>
        <v/>
      </c>
      <c r="R163">
        <f>IF(Q163=0,"&lt;1 second","&lt;"&amp;(ROUND(Q163,2)+1)&amp;" seconds")</f>
        <v/>
      </c>
      <c r="S163">
        <f>Q163+1</f>
        <v/>
      </c>
      <c r="T163">
        <f>Q163+0.5</f>
        <v/>
      </c>
    </row>
    <row r="164">
      <c r="O164">
        <f>(INT(D164)*60+(D164-INT(D164))*100)-(INT($D$2)*60+($D$2-INT($D$2))*100)</f>
        <v/>
      </c>
      <c r="P164">
        <f>(INT(E164)*60+(E164-INT(E164))*100)-(INT($D$2)*60+($D$2-INT($D$2))*100)</f>
        <v/>
      </c>
      <c r="Q164">
        <f>P164-O164</f>
        <v/>
      </c>
      <c r="R164">
        <f>IF(Q164=0,"&lt;1 second","&lt;"&amp;(ROUND(Q164,2)+1)&amp;" seconds")</f>
        <v/>
      </c>
      <c r="S164">
        <f>Q164+1</f>
        <v/>
      </c>
      <c r="T164">
        <f>Q164+0.5</f>
        <v/>
      </c>
    </row>
    <row r="165">
      <c r="O165">
        <f>(INT(D165)*60+(D165-INT(D165))*100)-(INT($D$2)*60+($D$2-INT($D$2))*100)</f>
        <v/>
      </c>
      <c r="P165">
        <f>(INT(E165)*60+(E165-INT(E165))*100)-(INT($D$2)*60+($D$2-INT($D$2))*100)</f>
        <v/>
      </c>
      <c r="Q165">
        <f>P165-O165</f>
        <v/>
      </c>
      <c r="R165">
        <f>IF(Q165=0,"&lt;1 second","&lt;"&amp;(ROUND(Q165,2)+1)&amp;" seconds")</f>
        <v/>
      </c>
      <c r="S165">
        <f>Q165+1</f>
        <v/>
      </c>
      <c r="T165">
        <f>Q165+0.5</f>
        <v/>
      </c>
    </row>
    <row r="166">
      <c r="O166">
        <f>(INT(D166)*60+(D166-INT(D166))*100)-(INT($D$2)*60+($D$2-INT($D$2))*100)</f>
        <v/>
      </c>
      <c r="P166">
        <f>(INT(E166)*60+(E166-INT(E166))*100)-(INT($D$2)*60+($D$2-INT($D$2))*100)</f>
        <v/>
      </c>
      <c r="Q166">
        <f>P166-O166</f>
        <v/>
      </c>
      <c r="R166">
        <f>IF(Q166=0,"&lt;1 second","&lt;"&amp;(ROUND(Q166,2)+1)&amp;" seconds")</f>
        <v/>
      </c>
      <c r="S166">
        <f>Q166+1</f>
        <v/>
      </c>
      <c r="T166">
        <f>Q166+0.5</f>
        <v/>
      </c>
    </row>
    <row r="167">
      <c r="O167">
        <f>(INT(D167)*60+(D167-INT(D167))*100)-(INT($D$2)*60+($D$2-INT($D$2))*100)</f>
        <v/>
      </c>
      <c r="P167">
        <f>(INT(E167)*60+(E167-INT(E167))*100)-(INT($D$2)*60+($D$2-INT($D$2))*100)</f>
        <v/>
      </c>
      <c r="Q167">
        <f>P167-O167</f>
        <v/>
      </c>
      <c r="R167">
        <f>IF(Q167=0,"&lt;1 second","&lt;"&amp;(ROUND(Q167,2)+1)&amp;" seconds")</f>
        <v/>
      </c>
      <c r="S167">
        <f>Q167+1</f>
        <v/>
      </c>
      <c r="T167">
        <f>Q167+0.5</f>
        <v/>
      </c>
    </row>
    <row r="168">
      <c r="O168">
        <f>(INT(D168)*60+(D168-INT(D168))*100)-(INT($D$2)*60+($D$2-INT($D$2))*100)</f>
        <v/>
      </c>
      <c r="P168">
        <f>(INT(E168)*60+(E168-INT(E168))*100)-(INT($D$2)*60+($D$2-INT($D$2))*100)</f>
        <v/>
      </c>
      <c r="Q168">
        <f>P168-O168</f>
        <v/>
      </c>
      <c r="R168">
        <f>IF(Q168=0,"&lt;1 second","&lt;"&amp;(ROUND(Q168,2)+1)&amp;" seconds")</f>
        <v/>
      </c>
      <c r="S168">
        <f>Q168+1</f>
        <v/>
      </c>
      <c r="T168">
        <f>Q168+0.5</f>
        <v/>
      </c>
    </row>
    <row r="169">
      <c r="O169">
        <f>(INT(D169)*60+(D169-INT(D169))*100)-(INT($D$2)*60+($D$2-INT($D$2))*100)</f>
        <v/>
      </c>
      <c r="P169">
        <f>(INT(E169)*60+(E169-INT(E169))*100)-(INT($D$2)*60+($D$2-INT($D$2))*100)</f>
        <v/>
      </c>
      <c r="Q169">
        <f>P169-O169</f>
        <v/>
      </c>
      <c r="R169">
        <f>IF(Q169=0,"&lt;1 second","&lt;"&amp;(ROUND(Q169,2)+1)&amp;" seconds")</f>
        <v/>
      </c>
      <c r="S169">
        <f>Q169+1</f>
        <v/>
      </c>
      <c r="T169">
        <f>Q169+0.5</f>
        <v/>
      </c>
    </row>
    <row r="170">
      <c r="O170">
        <f>(INT(D170)*60+(D170-INT(D170))*100)-(INT($D$2)*60+($D$2-INT($D$2))*100)</f>
        <v/>
      </c>
      <c r="P170">
        <f>(INT(E170)*60+(E170-INT(E170))*100)-(INT($D$2)*60+($D$2-INT($D$2))*100)</f>
        <v/>
      </c>
      <c r="Q170">
        <f>P170-O170</f>
        <v/>
      </c>
      <c r="R170">
        <f>IF(Q170=0,"&lt;1 second","&lt;"&amp;(ROUND(Q170,2)+1)&amp;" seconds")</f>
        <v/>
      </c>
      <c r="S170">
        <f>Q170+1</f>
        <v/>
      </c>
      <c r="T170">
        <f>Q170+0.5</f>
        <v/>
      </c>
    </row>
    <row r="171">
      <c r="O171">
        <f>(INT(D171)*60+(D171-INT(D171))*100)-(INT($D$2)*60+($D$2-INT($D$2))*100)</f>
        <v/>
      </c>
      <c r="P171">
        <f>(INT(E171)*60+(E171-INT(E171))*100)-(INT($D$2)*60+($D$2-INT($D$2))*100)</f>
        <v/>
      </c>
      <c r="Q171">
        <f>P171-O171</f>
        <v/>
      </c>
      <c r="R171">
        <f>IF(Q171=0,"&lt;1 second","&lt;"&amp;(ROUND(Q171,2)+1)&amp;" seconds")</f>
        <v/>
      </c>
      <c r="S171">
        <f>Q171+1</f>
        <v/>
      </c>
      <c r="T171">
        <f>Q171+0.5</f>
        <v/>
      </c>
    </row>
    <row r="172">
      <c r="O172">
        <f>(INT(D172)*60+(D172-INT(D172))*100)-(INT($D$2)*60+($D$2-INT($D$2))*100)</f>
        <v/>
      </c>
      <c r="P172">
        <f>(INT(E172)*60+(E172-INT(E172))*100)-(INT($D$2)*60+($D$2-INT($D$2))*100)</f>
        <v/>
      </c>
      <c r="Q172">
        <f>P172-O172</f>
        <v/>
      </c>
      <c r="R172">
        <f>IF(Q172=0,"&lt;1 second","&lt;"&amp;(ROUND(Q172,2)+1)&amp;" seconds")</f>
        <v/>
      </c>
      <c r="S172">
        <f>Q172+1</f>
        <v/>
      </c>
      <c r="T172">
        <f>Q172+0.5</f>
        <v/>
      </c>
    </row>
    <row r="173">
      <c r="O173">
        <f>(INT(D173)*60+(D173-INT(D173))*100)-(INT($D$2)*60+($D$2-INT($D$2))*100)</f>
        <v/>
      </c>
      <c r="P173">
        <f>(INT(E173)*60+(E173-INT(E173))*100)-(INT($D$2)*60+($D$2-INT($D$2))*100)</f>
        <v/>
      </c>
      <c r="Q173">
        <f>P173-O173</f>
        <v/>
      </c>
      <c r="R173">
        <f>IF(Q173=0,"&lt;1 second","&lt;"&amp;(ROUND(Q173,2)+1)&amp;" seconds")</f>
        <v/>
      </c>
      <c r="S173">
        <f>Q173+1</f>
        <v/>
      </c>
      <c r="T173">
        <f>Q173+0.5</f>
        <v/>
      </c>
    </row>
    <row r="174">
      <c r="O174">
        <f>(INT(D174)*60+(D174-INT(D174))*100)-(INT($D$2)*60+($D$2-INT($D$2))*100)</f>
        <v/>
      </c>
      <c r="P174">
        <f>(INT(E174)*60+(E174-INT(E174))*100)-(INT($D$2)*60+($D$2-INT($D$2))*100)</f>
        <v/>
      </c>
      <c r="Q174">
        <f>P174-O174</f>
        <v/>
      </c>
      <c r="R174">
        <f>IF(Q174=0,"&lt;1 second","&lt;"&amp;(ROUND(Q174,2)+1)&amp;" seconds")</f>
        <v/>
      </c>
      <c r="S174">
        <f>Q174+1</f>
        <v/>
      </c>
      <c r="T174">
        <f>Q174+0.5</f>
        <v/>
      </c>
    </row>
    <row r="175">
      <c r="O175">
        <f>(INT(D175)*60+(D175-INT(D175))*100)-(INT($D$2)*60+($D$2-INT($D$2))*100)</f>
        <v/>
      </c>
      <c r="P175">
        <f>(INT(E175)*60+(E175-INT(E175))*100)-(INT($D$2)*60+($D$2-INT($D$2))*100)</f>
        <v/>
      </c>
      <c r="Q175">
        <f>P175-O175</f>
        <v/>
      </c>
      <c r="R175">
        <f>IF(Q175=0,"&lt;1 second","&lt;"&amp;(ROUND(Q175,2)+1)&amp;" seconds")</f>
        <v/>
      </c>
      <c r="S175">
        <f>Q175+1</f>
        <v/>
      </c>
      <c r="T175">
        <f>Q175+0.5</f>
        <v/>
      </c>
    </row>
    <row r="176">
      <c r="O176">
        <f>(INT(D176)*60+(D176-INT(D176))*100)-(INT($D$2)*60+($D$2-INT($D$2))*100)</f>
        <v/>
      </c>
      <c r="P176">
        <f>(INT(E176)*60+(E176-INT(E176))*100)-(INT($D$2)*60+($D$2-INT($D$2))*100)</f>
        <v/>
      </c>
      <c r="Q176">
        <f>P176-O176</f>
        <v/>
      </c>
      <c r="R176">
        <f>IF(Q176=0,"&lt;1 second","&lt;"&amp;(ROUND(Q176,2)+1)&amp;" seconds")</f>
        <v/>
      </c>
      <c r="S176">
        <f>Q176+1</f>
        <v/>
      </c>
      <c r="T176">
        <f>Q176+0.5</f>
        <v/>
      </c>
    </row>
    <row r="177">
      <c r="O177">
        <f>(INT(D177)*60+(D177-INT(D177))*100)-(INT($D$2)*60+($D$2-INT($D$2))*100)</f>
        <v/>
      </c>
      <c r="P177">
        <f>(INT(E177)*60+(E177-INT(E177))*100)-(INT($D$2)*60+($D$2-INT($D$2))*100)</f>
        <v/>
      </c>
      <c r="Q177">
        <f>P177-O177</f>
        <v/>
      </c>
      <c r="R177">
        <f>IF(Q177=0,"&lt;1 second","&lt;"&amp;(ROUND(Q177,2)+1)&amp;" seconds")</f>
        <v/>
      </c>
      <c r="S177">
        <f>Q177+1</f>
        <v/>
      </c>
      <c r="T177">
        <f>Q177+0.5</f>
        <v/>
      </c>
    </row>
    <row r="178">
      <c r="O178">
        <f>(INT(D178)*60+(D178-INT(D178))*100)-(INT($D$2)*60+($D$2-INT($D$2))*100)</f>
        <v/>
      </c>
      <c r="P178">
        <f>(INT(E178)*60+(E178-INT(E178))*100)-(INT($D$2)*60+($D$2-INT($D$2))*100)</f>
        <v/>
      </c>
      <c r="Q178">
        <f>P178-O178</f>
        <v/>
      </c>
      <c r="R178">
        <f>IF(Q178=0,"&lt;1 second","&lt;"&amp;(ROUND(Q178,2)+1)&amp;" seconds")</f>
        <v/>
      </c>
      <c r="S178">
        <f>Q178+1</f>
        <v/>
      </c>
      <c r="T178">
        <f>Q178+0.5</f>
        <v/>
      </c>
    </row>
    <row r="179">
      <c r="O179">
        <f>(INT(D179)*60+(D179-INT(D179))*100)-(INT($D$2)*60+($D$2-INT($D$2))*100)</f>
        <v/>
      </c>
      <c r="P179">
        <f>(INT(E179)*60+(E179-INT(E179))*100)-(INT($D$2)*60+($D$2-INT($D$2))*100)</f>
        <v/>
      </c>
      <c r="Q179">
        <f>P179-O179</f>
        <v/>
      </c>
      <c r="R179">
        <f>IF(Q179=0,"&lt;1 second","&lt;"&amp;(ROUND(Q179,2)+1)&amp;" seconds")</f>
        <v/>
      </c>
      <c r="S179">
        <f>Q179+1</f>
        <v/>
      </c>
      <c r="T179">
        <f>Q179+0.5</f>
        <v/>
      </c>
    </row>
    <row r="180">
      <c r="O180">
        <f>(INT(D180)*60+(D180-INT(D180))*100)-(INT($D$2)*60+($D$2-INT($D$2))*100)</f>
        <v/>
      </c>
      <c r="P180">
        <f>(INT(E180)*60+(E180-INT(E180))*100)-(INT($D$2)*60+($D$2-INT($D$2))*100)</f>
        <v/>
      </c>
      <c r="Q180">
        <f>P180-O180</f>
        <v/>
      </c>
      <c r="R180">
        <f>IF(Q180=0,"&lt;1 second","&lt;"&amp;(ROUND(Q180,2)+1)&amp;" seconds")</f>
        <v/>
      </c>
      <c r="S180">
        <f>Q180+1</f>
        <v/>
      </c>
      <c r="T180">
        <f>Q180+0.5</f>
        <v/>
      </c>
    </row>
    <row r="181">
      <c r="O181">
        <f>(INT(D181)*60+(D181-INT(D181))*100)-(INT($D$2)*60+($D$2-INT($D$2))*100)</f>
        <v/>
      </c>
      <c r="P181">
        <f>(INT(E181)*60+(E181-INT(E181))*100)-(INT($D$2)*60+($D$2-INT($D$2))*100)</f>
        <v/>
      </c>
      <c r="Q181">
        <f>P181-O181</f>
        <v/>
      </c>
      <c r="R181">
        <f>IF(Q181=0,"&lt;1 second","&lt;"&amp;(ROUND(Q181,2)+1)&amp;" seconds")</f>
        <v/>
      </c>
      <c r="S181">
        <f>Q181+1</f>
        <v/>
      </c>
      <c r="T181">
        <f>Q181+0.5</f>
        <v/>
      </c>
    </row>
    <row r="182">
      <c r="O182">
        <f>(INT(D182)*60+(D182-INT(D182))*100)-(INT($D$2)*60+($D$2-INT($D$2))*100)</f>
        <v/>
      </c>
      <c r="P182">
        <f>(INT(E182)*60+(E182-INT(E182))*100)-(INT($D$2)*60+($D$2-INT($D$2))*100)</f>
        <v/>
      </c>
      <c r="Q182">
        <f>P182-O182</f>
        <v/>
      </c>
      <c r="R182">
        <f>IF(Q182=0,"&lt;1 second","&lt;"&amp;(ROUND(Q182,2)+1)&amp;" seconds")</f>
        <v/>
      </c>
      <c r="S182">
        <f>Q182+1</f>
        <v/>
      </c>
      <c r="T182">
        <f>Q182+0.5</f>
        <v/>
      </c>
    </row>
    <row r="183">
      <c r="O183">
        <f>(INT(D183)*60+(D183-INT(D183))*100)-(INT($D$2)*60+($D$2-INT($D$2))*100)</f>
        <v/>
      </c>
      <c r="P183">
        <f>(INT(E183)*60+(E183-INT(E183))*100)-(INT($D$2)*60+($D$2-INT($D$2))*100)</f>
        <v/>
      </c>
      <c r="Q183">
        <f>P183-O183</f>
        <v/>
      </c>
      <c r="R183">
        <f>IF(Q183=0,"&lt;1 second","&lt;"&amp;(ROUND(Q183,2)+1)&amp;" seconds")</f>
        <v/>
      </c>
      <c r="S183">
        <f>Q183+1</f>
        <v/>
      </c>
      <c r="T183">
        <f>Q183+0.5</f>
        <v/>
      </c>
    </row>
    <row r="184">
      <c r="O184">
        <f>(INT(D184)*60+(D184-INT(D184))*100)-(INT($D$2)*60+($D$2-INT($D$2))*100)</f>
        <v/>
      </c>
      <c r="P184">
        <f>(INT(E184)*60+(E184-INT(E184))*100)-(INT($D$2)*60+($D$2-INT($D$2))*100)</f>
        <v/>
      </c>
      <c r="Q184">
        <f>P184-O184</f>
        <v/>
      </c>
      <c r="R184">
        <f>IF(Q184=0,"&lt;1 second","&lt;"&amp;(ROUND(Q184,2)+1)&amp;" seconds")</f>
        <v/>
      </c>
      <c r="S184">
        <f>Q184+1</f>
        <v/>
      </c>
      <c r="T184">
        <f>Q184+0.5</f>
        <v/>
      </c>
    </row>
    <row r="185">
      <c r="O185">
        <f>(INT(D185)*60+(D185-INT(D185))*100)-(INT($D$2)*60+($D$2-INT($D$2))*100)</f>
        <v/>
      </c>
      <c r="P185">
        <f>(INT(E185)*60+(E185-INT(E185))*100)-(INT($D$2)*60+($D$2-INT($D$2))*100)</f>
        <v/>
      </c>
      <c r="Q185">
        <f>P185-O185</f>
        <v/>
      </c>
      <c r="R185">
        <f>IF(Q185=0,"&lt;1 second","&lt;"&amp;(ROUND(Q185,2)+1)&amp;" seconds")</f>
        <v/>
      </c>
      <c r="S185">
        <f>Q185+1</f>
        <v/>
      </c>
      <c r="T185">
        <f>Q185+0.5</f>
        <v/>
      </c>
    </row>
    <row r="186">
      <c r="O186">
        <f>(INT(D186)*60+(D186-INT(D186))*100)-(INT($D$2)*60+($D$2-INT($D$2))*100)</f>
        <v/>
      </c>
      <c r="P186">
        <f>(INT(E186)*60+(E186-INT(E186))*100)-(INT($D$2)*60+($D$2-INT($D$2))*100)</f>
        <v/>
      </c>
      <c r="Q186">
        <f>P186-O186</f>
        <v/>
      </c>
      <c r="R186">
        <f>IF(Q186=0,"&lt;1 second","&lt;"&amp;(ROUND(Q186,2)+1)&amp;" seconds")</f>
        <v/>
      </c>
      <c r="S186">
        <f>Q186+1</f>
        <v/>
      </c>
      <c r="T186">
        <f>Q186+0.5</f>
        <v/>
      </c>
    </row>
    <row r="187">
      <c r="O187">
        <f>(INT(D187)*60+(D187-INT(D187))*100)-(INT($D$2)*60+($D$2-INT($D$2))*100)</f>
        <v/>
      </c>
      <c r="P187">
        <f>(INT(E187)*60+(E187-INT(E187))*100)-(INT($D$2)*60+($D$2-INT($D$2))*100)</f>
        <v/>
      </c>
      <c r="Q187">
        <f>P187-O187</f>
        <v/>
      </c>
      <c r="R187">
        <f>IF(Q187=0,"&lt;1 second","&lt;"&amp;(ROUND(Q187,2)+1)&amp;" seconds")</f>
        <v/>
      </c>
      <c r="S187">
        <f>Q187+1</f>
        <v/>
      </c>
      <c r="T187">
        <f>Q187+0.5</f>
        <v/>
      </c>
    </row>
    <row r="188">
      <c r="O188">
        <f>(INT(D188)*60+(D188-INT(D188))*100)-(INT($D$2)*60+($D$2-INT($D$2))*100)</f>
        <v/>
      </c>
      <c r="P188">
        <f>(INT(E188)*60+(E188-INT(E188))*100)-(INT($D$2)*60+($D$2-INT($D$2))*100)</f>
        <v/>
      </c>
      <c r="Q188">
        <f>P188-O188</f>
        <v/>
      </c>
      <c r="R188">
        <f>IF(Q188=0,"&lt;1 second","&lt;"&amp;(ROUND(Q188,2)+1)&amp;" seconds")</f>
        <v/>
      </c>
      <c r="S188">
        <f>Q188+1</f>
        <v/>
      </c>
      <c r="T188">
        <f>Q188+0.5</f>
        <v/>
      </c>
    </row>
    <row r="189">
      <c r="O189">
        <f>(INT(D189)*60+(D189-INT(D189))*100)-(INT($D$2)*60+($D$2-INT($D$2))*100)</f>
        <v/>
      </c>
      <c r="P189">
        <f>(INT(E189)*60+(E189-INT(E189))*100)-(INT($D$2)*60+($D$2-INT($D$2))*100)</f>
        <v/>
      </c>
      <c r="Q189">
        <f>P189-O189</f>
        <v/>
      </c>
      <c r="R189">
        <f>IF(Q189=0,"&lt;1 second","&lt;"&amp;(ROUND(Q189,2)+1)&amp;" seconds")</f>
        <v/>
      </c>
      <c r="S189">
        <f>Q189+1</f>
        <v/>
      </c>
      <c r="T189">
        <f>Q189+0.5</f>
        <v/>
      </c>
    </row>
    <row r="190">
      <c r="O190">
        <f>(INT(D190)*60+(D190-INT(D190))*100)-(INT($D$2)*60+($D$2-INT($D$2))*100)</f>
        <v/>
      </c>
      <c r="P190">
        <f>(INT(E190)*60+(E190-INT(E190))*100)-(INT($D$2)*60+($D$2-INT($D$2))*100)</f>
        <v/>
      </c>
      <c r="Q190">
        <f>P190-O190</f>
        <v/>
      </c>
      <c r="R190">
        <f>IF(Q190=0,"&lt;1 second","&lt;"&amp;(ROUND(Q190,2)+1)&amp;" seconds")</f>
        <v/>
      </c>
      <c r="S190">
        <f>Q190+1</f>
        <v/>
      </c>
      <c r="T190">
        <f>Q190+0.5</f>
        <v/>
      </c>
    </row>
    <row r="191">
      <c r="O191">
        <f>(INT(D191)*60+(D191-INT(D191))*100)-(INT($D$2)*60+($D$2-INT($D$2))*100)</f>
        <v/>
      </c>
      <c r="P191">
        <f>(INT(E191)*60+(E191-INT(E191))*100)-(INT($D$2)*60+($D$2-INT($D$2))*100)</f>
        <v/>
      </c>
      <c r="Q191">
        <f>P191-O191</f>
        <v/>
      </c>
      <c r="R191">
        <f>IF(Q191=0,"&lt;1 second","&lt;"&amp;(ROUND(Q191,2)+1)&amp;" seconds")</f>
        <v/>
      </c>
      <c r="S191">
        <f>Q191+1</f>
        <v/>
      </c>
      <c r="T191">
        <f>Q191+0.5</f>
        <v/>
      </c>
    </row>
    <row r="192">
      <c r="O192">
        <f>(INT(D192)*60+(D192-INT(D192))*100)-(INT($D$2)*60+($D$2-INT($D$2))*100)</f>
        <v/>
      </c>
      <c r="P192">
        <f>(INT(E192)*60+(E192-INT(E192))*100)-(INT($D$2)*60+($D$2-INT($D$2))*100)</f>
        <v/>
      </c>
      <c r="Q192">
        <f>P192-O192</f>
        <v/>
      </c>
      <c r="R192">
        <f>IF(Q192=0,"&lt;1 second","&lt;"&amp;(ROUND(Q192,2)+1)&amp;" seconds")</f>
        <v/>
      </c>
      <c r="S192">
        <f>Q192+1</f>
        <v/>
      </c>
      <c r="T192">
        <f>Q192+0.5</f>
        <v/>
      </c>
    </row>
    <row r="193">
      <c r="O193">
        <f>(INT(D193)*60+(D193-INT(D193))*100)-(INT($D$2)*60+($D$2-INT($D$2))*100)</f>
        <v/>
      </c>
      <c r="P193">
        <f>(INT(E193)*60+(E193-INT(E193))*100)-(INT($D$2)*60+($D$2-INT($D$2))*100)</f>
        <v/>
      </c>
      <c r="Q193">
        <f>P193-O193</f>
        <v/>
      </c>
      <c r="R193">
        <f>IF(Q193=0,"&lt;1 second","&lt;"&amp;(ROUND(Q193,2)+1)&amp;" seconds")</f>
        <v/>
      </c>
      <c r="S193">
        <f>Q193+1</f>
        <v/>
      </c>
      <c r="T193">
        <f>Q193+0.5</f>
        <v/>
      </c>
    </row>
    <row r="194">
      <c r="O194">
        <f>(INT(D194)*60+(D194-INT(D194))*100)-(INT($D$2)*60+($D$2-INT($D$2))*100)</f>
        <v/>
      </c>
      <c r="P194">
        <f>(INT(E194)*60+(E194-INT(E194))*100)-(INT($D$2)*60+($D$2-INT($D$2))*100)</f>
        <v/>
      </c>
      <c r="Q194">
        <f>P194-O194</f>
        <v/>
      </c>
      <c r="R194">
        <f>IF(Q194=0,"&lt;1 second","&lt;"&amp;(ROUND(Q194,2)+1)&amp;" seconds")</f>
        <v/>
      </c>
      <c r="S194">
        <f>Q194+1</f>
        <v/>
      </c>
      <c r="T194">
        <f>Q194+0.5</f>
        <v/>
      </c>
    </row>
    <row r="195">
      <c r="O195">
        <f>(INT(D195)*60+(D195-INT(D195))*100)-(INT($D$2)*60+($D$2-INT($D$2))*100)</f>
        <v/>
      </c>
      <c r="P195">
        <f>(INT(E195)*60+(E195-INT(E195))*100)-(INT($D$2)*60+($D$2-INT($D$2))*100)</f>
        <v/>
      </c>
      <c r="Q195">
        <f>P195-O195</f>
        <v/>
      </c>
      <c r="R195">
        <f>IF(Q195=0,"&lt;1 second","&lt;"&amp;(ROUND(Q195,2)+1)&amp;" seconds")</f>
        <v/>
      </c>
      <c r="S195">
        <f>Q195+1</f>
        <v/>
      </c>
      <c r="T195">
        <f>Q195+0.5</f>
        <v/>
      </c>
    </row>
    <row r="196">
      <c r="O196">
        <f>(INT(D196)*60+(D196-INT(D196))*100)-(INT($D$2)*60+($D$2-INT($D$2))*100)</f>
        <v/>
      </c>
      <c r="P196">
        <f>(INT(E196)*60+(E196-INT(E196))*100)-(INT($D$2)*60+($D$2-INT($D$2))*100)</f>
        <v/>
      </c>
      <c r="Q196">
        <f>P196-O196</f>
        <v/>
      </c>
      <c r="R196">
        <f>IF(Q196=0,"&lt;1 second","&lt;"&amp;(ROUND(Q196,2)+1)&amp;" seconds")</f>
        <v/>
      </c>
      <c r="S196">
        <f>Q196+1</f>
        <v/>
      </c>
      <c r="T196">
        <f>Q196+0.5</f>
        <v/>
      </c>
    </row>
    <row r="197">
      <c r="O197">
        <f>(INT(D197)*60+(D197-INT(D197))*100)-(INT($D$2)*60+($D$2-INT($D$2))*100)</f>
        <v/>
      </c>
      <c r="P197">
        <f>(INT(E197)*60+(E197-INT(E197))*100)-(INT($D$2)*60+($D$2-INT($D$2))*100)</f>
        <v/>
      </c>
      <c r="Q197">
        <f>P197-O197</f>
        <v/>
      </c>
      <c r="R197">
        <f>IF(Q197=0,"&lt;1 second","&lt;"&amp;(ROUND(Q197,2)+1)&amp;" seconds")</f>
        <v/>
      </c>
      <c r="S197">
        <f>Q197+1</f>
        <v/>
      </c>
      <c r="T197">
        <f>Q197+0.5</f>
        <v/>
      </c>
    </row>
    <row r="198">
      <c r="O198">
        <f>(INT(D198)*60+(D198-INT(D198))*100)-(INT($D$2)*60+($D$2-INT($D$2))*100)</f>
        <v/>
      </c>
      <c r="P198">
        <f>(INT(E198)*60+(E198-INT(E198))*100)-(INT($D$2)*60+($D$2-INT($D$2))*100)</f>
        <v/>
      </c>
      <c r="Q198">
        <f>P198-O198</f>
        <v/>
      </c>
      <c r="R198">
        <f>IF(Q198=0,"&lt;1 second","&lt;"&amp;(ROUND(Q198,2)+1)&amp;" seconds")</f>
        <v/>
      </c>
      <c r="S198">
        <f>Q198+1</f>
        <v/>
      </c>
      <c r="T198">
        <f>Q198+0.5</f>
        <v/>
      </c>
    </row>
    <row r="199">
      <c r="O199">
        <f>(INT(D199)*60+(D199-INT(D199))*100)-(INT($D$2)*60+($D$2-INT($D$2))*100)</f>
        <v/>
      </c>
      <c r="P199">
        <f>(INT(E199)*60+(E199-INT(E199))*100)-(INT($D$2)*60+($D$2-INT($D$2))*100)</f>
        <v/>
      </c>
      <c r="Q199">
        <f>P199-O199</f>
        <v/>
      </c>
      <c r="R199">
        <f>IF(Q199=0,"&lt;1 second","&lt;"&amp;(ROUND(Q199,2)+1)&amp;" seconds")</f>
        <v/>
      </c>
      <c r="S199">
        <f>Q199+1</f>
        <v/>
      </c>
      <c r="T199">
        <f>Q199+0.5</f>
        <v/>
      </c>
    </row>
    <row r="200">
      <c r="O200">
        <f>(INT(D200)*60+(D200-INT(D200))*100)-(INT($D$2)*60+($D$2-INT($D$2))*100)</f>
        <v/>
      </c>
      <c r="P200">
        <f>(INT(E200)*60+(E200-INT(E200))*100)-(INT($D$2)*60+($D$2-INT($D$2))*100)</f>
        <v/>
      </c>
      <c r="Q200">
        <f>P200-O200</f>
        <v/>
      </c>
      <c r="R200">
        <f>IF(Q200=0,"&lt;1 second","&lt;"&amp;(ROUND(Q200,2)+1)&amp;" seconds")</f>
        <v/>
      </c>
      <c r="S200">
        <f>Q200+1</f>
        <v/>
      </c>
      <c r="T200">
        <f>Q200+0.5</f>
        <v/>
      </c>
    </row>
  </sheetData>
  <dataValidations count="8">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showDropDown="0" showInputMessage="1" showErrorMessage="1" allowBlank="1" errorTitle="Invalid value" error="Please select from the list or leave blank." promptTitle="Select value" prompt="Select or type an action" type="list">
      <formula1>_lists!$A$2:$A$28</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showDropDown="0" showInputMessage="1" showErrorMessage="1" allowBlank="1" errorTitle="Invalid value" error="Please select from the list or leave blank." promptTitle="Select value" prompt="Select a primary tag" type="list">
      <formula1>_lists!$B$2:$B$16</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showDropDown="0" showInputMessage="1" showErrorMessage="1" allowBlank="1" errorTitle="Invalid value" error="Please select from the list or leave blank." promptTitle="Select value" prompt="Select a secondary tag" type="list">
      <formula1>_lists!$B$2:$B$16</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showDropDown="0" showInputMessage="1" showErrorMessage="1" allowBlank="1" errorTitle="Invalid value" error="Please select from the list or leave blank." promptTitle="Select value" prompt="Select or type an intent" type="list">
      <formula1>_lists!$C$2:$C$13</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showDropDown="0" showInputMessage="1" showErrorMessage="1" allowBlank="1" errorTitle="Invalid value" error="Please select from the list or leave blank." promptTitle="Select value" prompt="Select difficulty rating" type="list">
      <formula1>"EASY,MEDIUM,HARD,VERY HARD"</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showDropDown="0" showInputMessage="1" showErrorMessage="1" allowBlank="1" errorTitle="Invalid value" error="Please select from the list or leave blank." promptTitle="Select value" prompt="Select primary input method" type="list">
      <formula1>"cursor,keyboard,gesture,complex gesture,multi_step,multi_input"</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showDropDown="0" showInputMessage="1" showErrorMessage="1" allowBlank="1" errorTitle="Invalid value" error="Please select from the list or leave blank." promptTitle="Select value" prompt="Select secondary input method" type="list">
      <formula1>"cursor,keyboard,gesture,complex gesture,multi_step,multi_input"</formula1>
    </dataValidation>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showDropDown="0" showInputMessage="1" showErrorMessage="1" allowBlank="1" errorTitle="Invalid value" error="Please select from the list or leave blank." promptTitle="Select value" prompt="Select location" type="list">
      <formula1>"canvas,gui"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10" defaultColWidth="8.83203125" defaultRowHeight="15"/>
  <sheetData>
    <row r="1">
      <c r="A1" t="inlineStr">
        <is>
          <t>actions</t>
        </is>
      </c>
      <c r="B1" t="inlineStr">
        <is>
          <t>tags</t>
        </is>
      </c>
      <c r="C1" t="inlineStr">
        <is>
          <t>intents</t>
        </is>
      </c>
    </row>
    <row r="2">
      <c r="A2" t="inlineStr">
        <is>
          <t>[zoom] and [pan]</t>
        </is>
      </c>
      <c r="B2" t="inlineStr">
        <is>
          <t>navigation</t>
        </is>
      </c>
      <c r="C2" t="inlineStr">
        <is>
          <t>activate rectangle tool</t>
        </is>
      </c>
    </row>
    <row r="3">
      <c r="A3" t="inlineStr">
        <is>
          <t>[zoom]</t>
        </is>
      </c>
      <c r="B3" t="inlineStr">
        <is>
          <t>selection</t>
        </is>
      </c>
      <c r="C3" t="inlineStr">
        <is>
          <t>activate text tool</t>
        </is>
      </c>
    </row>
    <row r="4">
      <c r="A4" t="inlineStr">
        <is>
          <t>[zoom] in on [design object]</t>
        </is>
      </c>
      <c r="B4" t="inlineStr">
        <is>
          <t>creating text</t>
        </is>
      </c>
      <c r="C4" t="inlineStr">
        <is>
          <t>creating rectangle</t>
        </is>
      </c>
    </row>
    <row r="5">
      <c r="A5" t="inlineStr">
        <is>
          <t>[select] [design object] on [canvas] using [cursor]</t>
        </is>
      </c>
      <c r="B5" t="inlineStr">
        <is>
          <t>creating design object</t>
        </is>
      </c>
      <c r="C5" t="inlineStr">
        <is>
          <t>update autolayout layout</t>
        </is>
      </c>
    </row>
    <row r="6">
      <c r="A6" t="inlineStr">
        <is>
          <t>[deep select] [design object] on [canvas] using [cursor]</t>
        </is>
      </c>
      <c r="B6" t="inlineStr">
        <is>
          <t>spatial positioning</t>
        </is>
      </c>
      <c r="C6" t="inlineStr">
        <is>
          <t>update colour style</t>
        </is>
      </c>
    </row>
    <row r="7">
      <c r="A7" t="inlineStr">
        <is>
          <t>[deep select] [text object] on [canvas] using [cursor]</t>
        </is>
      </c>
      <c r="B7" t="inlineStr">
        <is>
          <t>information revealing</t>
        </is>
      </c>
      <c r="C7" t="inlineStr">
        <is>
          <t>update corner radius</t>
        </is>
      </c>
    </row>
    <row r="8">
      <c r="A8" t="inlineStr">
        <is>
          <t>[multiselect] [design objects] on [canvas] using [cursor]</t>
        </is>
      </c>
      <c r="B8" t="inlineStr">
        <is>
          <t>update text object content</t>
        </is>
      </c>
      <c r="C8" t="inlineStr">
        <is>
          <t>update design object size</t>
        </is>
      </c>
    </row>
    <row r="9">
      <c r="A9" t="inlineStr">
        <is>
          <t>[deselect]</t>
        </is>
      </c>
      <c r="B9" t="inlineStr">
        <is>
          <t>update text object property</t>
        </is>
      </c>
      <c r="C9" t="inlineStr">
        <is>
          <t>update fill</t>
        </is>
      </c>
    </row>
    <row r="10">
      <c r="A10" t="inlineStr">
        <is>
          <t>[create] [text object] at [new position] on [canvas]</t>
        </is>
      </c>
      <c r="B10" t="inlineStr">
        <is>
          <t>update text object size</t>
        </is>
      </c>
      <c r="C10" t="inlineStr">
        <is>
          <t>update letter spacing</t>
        </is>
      </c>
    </row>
    <row r="11">
      <c r="A11" t="inlineStr">
        <is>
          <t>[create] [design object] at [new position] on [canvas]</t>
        </is>
      </c>
      <c r="B11" t="inlineStr">
        <is>
          <t>update design object property</t>
        </is>
      </c>
      <c r="C11" t="inlineStr">
        <is>
          <t>update text alignment</t>
        </is>
      </c>
    </row>
    <row r="12">
      <c r="A12" t="inlineStr">
        <is>
          <t>[drag] to [create] [design object] at [new position] on [canvas] using [cursor]</t>
        </is>
      </c>
      <c r="B12" t="inlineStr">
        <is>
          <t>resize design object</t>
        </is>
      </c>
      <c r="C12" t="inlineStr">
        <is>
          <t>update text size</t>
        </is>
      </c>
    </row>
    <row r="13">
      <c r="A13" t="inlineStr">
        <is>
          <t>[drag] [selected] to [new position] using [cursor]</t>
        </is>
      </c>
      <c r="B13" t="inlineStr">
        <is>
          <t>copy/paste</t>
        </is>
      </c>
      <c r="C13" t="inlineStr">
        <is>
          <t>update vertical autolayout spacing</t>
        </is>
      </c>
    </row>
    <row r="14">
      <c r="A14" t="inlineStr">
        <is>
          <t>[drag] [selected] to [new position] using [cursor] and [alignment grids]</t>
        </is>
      </c>
      <c r="B14" t="inlineStr">
        <is>
          <t>activate tool</t>
        </is>
      </c>
    </row>
    <row r="15">
      <c r="A15" t="inlineStr">
        <is>
          <t>[move] [selected] to [new position] using [keyboard] and [alignment grids]</t>
        </is>
      </c>
      <c r="B15" t="inlineStr">
        <is>
          <t>create autolayout</t>
        </is>
      </c>
    </row>
    <row r="16">
      <c r="A16" t="inlineStr">
        <is>
          <t>[update] [text object] using [keyboard]</t>
        </is>
      </c>
      <c r="B16" t="inlineStr">
        <is>
          <t>update autolayout</t>
        </is>
      </c>
    </row>
    <row r="17">
      <c r="A17" t="inlineStr">
        <is>
          <t>[update] [text object] with [keyboard]</t>
        </is>
      </c>
    </row>
    <row r="18">
      <c r="A18" t="inlineStr">
        <is>
          <t>[click] [gui icon]</t>
        </is>
      </c>
    </row>
    <row r="19">
      <c r="A19" t="inlineStr">
        <is>
          <t>[update] [gui input] to [value]</t>
        </is>
      </c>
    </row>
    <row r="20">
      <c r="A20" t="inlineStr">
        <is>
          <t>[expand] [gui menu] + [click] [gui icon]</t>
        </is>
      </c>
    </row>
    <row r="21">
      <c r="A21" t="inlineStr">
        <is>
          <t>[scroll] [gui panel] + [expand] [gui menu] + [click gui icon]</t>
        </is>
      </c>
    </row>
    <row r="22">
      <c r="A22" t="inlineStr">
        <is>
          <t>[expand] [gui menu] + [scroll] [gui panel] + [click gui icon]</t>
        </is>
      </c>
    </row>
    <row r="23">
      <c r="A23" t="inlineStr">
        <is>
          <t>[expand] [gui menu]</t>
        </is>
      </c>
    </row>
    <row r="24">
      <c r="A24" t="inlineStr">
        <is>
          <t>[scroll] [gui panel]</t>
        </is>
      </c>
    </row>
    <row r="25">
      <c r="A25" t="inlineStr">
        <is>
          <t>[activate] [tool]</t>
        </is>
      </c>
    </row>
    <row r="26">
      <c r="A26" t="inlineStr">
        <is>
          <t>[create] [autolayout]</t>
        </is>
      </c>
    </row>
    <row r="27">
      <c r="A27" t="inlineStr">
        <is>
          <t>[duplicate] [selected]</t>
        </is>
      </c>
    </row>
    <row r="28">
      <c r="A28" t="inlineStr">
        <is>
          <t>[mistake/redundant]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2026-05-05T19:22:30Z</dcterms:created>
  <dcterms:modified xmlns:dcterms="http://purl.org/dc/terms/" xmlns:xsi="http://www.w3.org/2001/XMLSchema-instance" xsi:type="dcterms:W3CDTF">2026-05-09T15:25:31Z</dcterms:modified>
  <cp:lastModifiedBy>Talbot, Marci</cp:lastModifiedBy>
</cp:coreProperties>
</file>