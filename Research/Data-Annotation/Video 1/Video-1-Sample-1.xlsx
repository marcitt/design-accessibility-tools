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marci/Desktop/Notes/Research Space/Voice for Accessible Design/Creative-Visual-Design-Accessibility-Tools/Research/Data-Annotation/Video 1/"/>
    </mc:Choice>
  </mc:AlternateContent>
  <xr:revisionPtr revIDLastSave="0" documentId="13_ncr:1_{B57E96BA-B7C9-9A40-9DD7-ACEE62BC7F78}" xr6:coauthVersionLast="47" xr6:coauthVersionMax="47" xr10:uidLastSave="{00000000-0000-0000-0000-000000000000}"/>
  <bookViews>
    <workbookView xWindow="3980" yWindow="760" windowWidth="25420" windowHeight="17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" i="1" l="1"/>
  <c r="E25" i="1"/>
  <c r="E26" i="1"/>
  <c r="E28" i="1"/>
  <c r="E18" i="1"/>
  <c r="L21" i="1" l="1"/>
  <c r="L20" i="1"/>
  <c r="E16" i="1"/>
  <c r="L16" i="1" s="1"/>
  <c r="E15" i="1"/>
  <c r="L15" i="1" s="1"/>
  <c r="E14" i="1"/>
  <c r="L14" i="1" s="1"/>
  <c r="E13" i="1"/>
  <c r="L13" i="1" s="1"/>
  <c r="E12" i="1"/>
  <c r="L12" i="1" s="1"/>
  <c r="L10" i="1"/>
  <c r="L11" i="1"/>
  <c r="L17" i="1"/>
  <c r="L18" i="1"/>
  <c r="L19" i="1"/>
  <c r="L22" i="1"/>
  <c r="L23" i="1"/>
  <c r="L24" i="1"/>
  <c r="L25" i="1"/>
  <c r="L26" i="1"/>
  <c r="L27" i="1"/>
  <c r="L28" i="1"/>
  <c r="L29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E9" i="1"/>
  <c r="L9" i="1" s="1"/>
  <c r="M16" i="1" l="1"/>
  <c r="N16" i="1" s="1"/>
  <c r="M15" i="1"/>
  <c r="N15" i="1" s="1"/>
  <c r="M9" i="1"/>
  <c r="N9" i="1" s="1"/>
  <c r="M14" i="1"/>
  <c r="N14" i="1" s="1"/>
  <c r="M20" i="1"/>
  <c r="N20" i="1" s="1"/>
  <c r="M17" i="1"/>
  <c r="N17" i="1" s="1"/>
  <c r="M19" i="1"/>
  <c r="N19" i="1" s="1"/>
  <c r="M18" i="1"/>
  <c r="N18" i="1" s="1"/>
  <c r="M26" i="1"/>
  <c r="N26" i="1" s="1"/>
  <c r="M23" i="1"/>
  <c r="N23" i="1" s="1"/>
  <c r="M12" i="1"/>
  <c r="N12" i="1" s="1"/>
  <c r="M29" i="1"/>
  <c r="N29" i="1" s="1"/>
  <c r="M22" i="1"/>
  <c r="N22" i="1" s="1"/>
  <c r="M13" i="1"/>
  <c r="N13" i="1" s="1"/>
  <c r="M28" i="1"/>
  <c r="N28" i="1" s="1"/>
  <c r="M27" i="1"/>
  <c r="N27" i="1" s="1"/>
  <c r="M11" i="1"/>
  <c r="N11" i="1" s="1"/>
  <c r="M21" i="1"/>
  <c r="N21" i="1" s="1"/>
  <c r="M10" i="1"/>
  <c r="N10" i="1" s="1"/>
  <c r="M24" i="1"/>
  <c r="N24" i="1" s="1"/>
  <c r="M25" i="1"/>
  <c r="N25" i="1" s="1"/>
  <c r="E5" i="1"/>
  <c r="L5" i="1" l="1"/>
  <c r="L6" i="1"/>
  <c r="L7" i="1"/>
  <c r="K3" i="1"/>
  <c r="K4" i="1"/>
  <c r="K5" i="1"/>
  <c r="K6" i="1"/>
  <c r="K7" i="1"/>
  <c r="K8" i="1"/>
  <c r="E3" i="1"/>
  <c r="L3" i="1" s="1"/>
  <c r="M3" i="1" s="1"/>
  <c r="N3" i="1" s="1"/>
  <c r="E4" i="1"/>
  <c r="L4" i="1" s="1"/>
  <c r="L8" i="1"/>
  <c r="E30" i="1"/>
  <c r="L30" i="1" s="1"/>
  <c r="M30" i="1" s="1"/>
  <c r="N30" i="1" s="1"/>
  <c r="E31" i="1"/>
  <c r="L31" i="1" s="1"/>
  <c r="M31" i="1" s="1"/>
  <c r="N31" i="1" s="1"/>
  <c r="E32" i="1"/>
  <c r="L32" i="1" s="1"/>
  <c r="M32" i="1" s="1"/>
  <c r="N32" i="1" s="1"/>
  <c r="L33" i="1"/>
  <c r="M33" i="1" s="1"/>
  <c r="N33" i="1" s="1"/>
  <c r="E34" i="1"/>
  <c r="L34" i="1" s="1"/>
  <c r="M34" i="1" s="1"/>
  <c r="N34" i="1" s="1"/>
  <c r="E35" i="1"/>
  <c r="L35" i="1" s="1"/>
  <c r="M35" i="1" s="1"/>
  <c r="N35" i="1" s="1"/>
  <c r="E36" i="1"/>
  <c r="L36" i="1" s="1"/>
  <c r="M36" i="1" s="1"/>
  <c r="N36" i="1" s="1"/>
  <c r="L37" i="1"/>
  <c r="M37" i="1" s="1"/>
  <c r="N37" i="1" s="1"/>
  <c r="E38" i="1"/>
  <c r="L38" i="1" s="1"/>
  <c r="M38" i="1" s="1"/>
  <c r="N38" i="1" s="1"/>
  <c r="L39" i="1"/>
  <c r="M39" i="1" s="1"/>
  <c r="N39" i="1" s="1"/>
  <c r="L40" i="1"/>
  <c r="M40" i="1" s="1"/>
  <c r="N40" i="1" s="1"/>
  <c r="L41" i="1"/>
  <c r="M41" i="1" s="1"/>
  <c r="N41" i="1" s="1"/>
  <c r="E42" i="1"/>
  <c r="L42" i="1" s="1"/>
  <c r="M42" i="1" s="1"/>
  <c r="N42" i="1" s="1"/>
  <c r="E43" i="1"/>
  <c r="L43" i="1" s="1"/>
  <c r="M43" i="1" s="1"/>
  <c r="N43" i="1" s="1"/>
  <c r="L44" i="1"/>
  <c r="M44" i="1" s="1"/>
  <c r="N44" i="1" s="1"/>
  <c r="E45" i="1"/>
  <c r="L45" i="1" s="1"/>
  <c r="M45" i="1" s="1"/>
  <c r="N45" i="1" s="1"/>
  <c r="E46" i="1"/>
  <c r="L46" i="1" s="1"/>
  <c r="M46" i="1" s="1"/>
  <c r="N46" i="1" s="1"/>
  <c r="L47" i="1"/>
  <c r="M47" i="1" s="1"/>
  <c r="N47" i="1" s="1"/>
  <c r="E48" i="1"/>
  <c r="L48" i="1" s="1"/>
  <c r="M48" i="1" s="1"/>
  <c r="N48" i="1" s="1"/>
  <c r="L49" i="1"/>
  <c r="M49" i="1" s="1"/>
  <c r="N49" i="1" s="1"/>
  <c r="L50" i="1"/>
  <c r="M50" i="1" s="1"/>
  <c r="N50" i="1" s="1"/>
  <c r="E51" i="1"/>
  <c r="L51" i="1" s="1"/>
  <c r="M51" i="1" s="1"/>
  <c r="N51" i="1" s="1"/>
  <c r="E52" i="1"/>
  <c r="L52" i="1" s="1"/>
  <c r="M52" i="1" s="1"/>
  <c r="N52" i="1" s="1"/>
  <c r="E2" i="1"/>
  <c r="L2" i="1" s="1"/>
  <c r="K2" i="1"/>
  <c r="M2" i="1" l="1"/>
  <c r="N2" i="1" s="1"/>
  <c r="M7" i="1"/>
  <c r="N7" i="1" s="1"/>
  <c r="M8" i="1"/>
  <c r="N8" i="1" s="1"/>
  <c r="M6" i="1"/>
  <c r="N6" i="1" s="1"/>
  <c r="M4" i="1"/>
  <c r="N4" i="1" s="1"/>
  <c r="M5" i="1"/>
  <c r="N5" i="1" s="1"/>
</calcChain>
</file>

<file path=xl/sharedStrings.xml><?xml version="1.0" encoding="utf-8"?>
<sst xmlns="http://schemas.openxmlformats.org/spreadsheetml/2006/main" count="251" uniqueCount="89">
  <si>
    <t>Title</t>
  </si>
  <si>
    <t>video</t>
  </si>
  <si>
    <t>sample</t>
  </si>
  <si>
    <t>start</t>
  </si>
  <si>
    <t>end</t>
  </si>
  <si>
    <t>action</t>
  </si>
  <si>
    <t>tag</t>
  </si>
  <si>
    <t>location</t>
  </si>
  <si>
    <t>how</t>
  </si>
  <si>
    <t>adjusted start</t>
  </si>
  <si>
    <t>adjusted end</t>
  </si>
  <si>
    <t>[zoom]</t>
  </si>
  <si>
    <t>[update] [gui input] to [value]</t>
  </si>
  <si>
    <t>[drag] [selected] to [new position] using [cursor]</t>
  </si>
  <si>
    <t>[drag] [selected] to [new position] using [cursor] and [alignment grids]</t>
  </si>
  <si>
    <t>[multiselect] [design objects] on [canvas] using [cursor]</t>
  </si>
  <si>
    <t>[select] [design object] on [canvas] using [cursor]</t>
  </si>
  <si>
    <t>[expand] [gui menu]</t>
  </si>
  <si>
    <t>[deep select] [design object] on [canvas] using [cursor]</t>
  </si>
  <si>
    <t>duration</t>
  </si>
  <si>
    <t>navigation</t>
  </si>
  <si>
    <t>selection</t>
  </si>
  <si>
    <t>resizing</t>
  </si>
  <si>
    <t>positioning</t>
  </si>
  <si>
    <t>mistake/redundant</t>
  </si>
  <si>
    <t>information revealing</t>
  </si>
  <si>
    <t>cursor</t>
  </si>
  <si>
    <t>keyboard</t>
  </si>
  <si>
    <t>gesture</t>
  </si>
  <si>
    <t>cursor; keyboard</t>
  </si>
  <si>
    <t>canvas</t>
  </si>
  <si>
    <t>[move] [selected] to [new position] using [keyboard] and [alignment grids]</t>
  </si>
  <si>
    <t>[update] [text object] using [keyboard]</t>
  </si>
  <si>
    <t>https://www.youtube.com/watch?v=JkC4o1U5zgM&amp;list=PLfrBp-7QhDqtmJ8oAjYhP6PLQqwDI0z1S&amp;index=6</t>
  </si>
  <si>
    <t>[deep select] [text object] on [canvas] using [cursor]</t>
  </si>
  <si>
    <t>[deselect]</t>
  </si>
  <si>
    <t>[zoom] and [pan]</t>
  </si>
  <si>
    <t>[create] [autolayout]</t>
  </si>
  <si>
    <t>UI Design Cinema Ticketing in Figma - UI Speed Design | Week - 12</t>
  </si>
  <si>
    <t>HARD</t>
  </si>
  <si>
    <t>EASY</t>
  </si>
  <si>
    <t>VERY HARD</t>
  </si>
  <si>
    <t>MEDIUM</t>
  </si>
  <si>
    <t>MEDUM</t>
  </si>
  <si>
    <t>update</t>
  </si>
  <si>
    <t>spatial positioning</t>
  </si>
  <si>
    <t>tool select</t>
  </si>
  <si>
    <t>update text</t>
  </si>
  <si>
    <t>update text size</t>
  </si>
  <si>
    <t>creating design object</t>
  </si>
  <si>
    <t>creating text</t>
  </si>
  <si>
    <t>update typography</t>
  </si>
  <si>
    <t>copy/paste</t>
  </si>
  <si>
    <t>autolayout</t>
  </si>
  <si>
    <t>n/a</t>
  </si>
  <si>
    <t xml:space="preserve">[update] [gui input] to [value] </t>
  </si>
  <si>
    <t>gui</t>
  </si>
  <si>
    <t>update colour style</t>
  </si>
  <si>
    <t>update vertical autolayout spacing</t>
  </si>
  <si>
    <t>[create] [text object] at [new position] on [canvas]</t>
  </si>
  <si>
    <t>[click] [gui icon]</t>
  </si>
  <si>
    <t>[duplicate] [selected]</t>
  </si>
  <si>
    <t>choosing position is hard</t>
  </si>
  <si>
    <t>combining zooming and panning is hard</t>
  </si>
  <si>
    <t>[activate] [tool]</t>
  </si>
  <si>
    <t>activate tool</t>
  </si>
  <si>
    <t>update letter spacing</t>
  </si>
  <si>
    <t>update text alignment</t>
  </si>
  <si>
    <t>[mistake/redundant]</t>
  </si>
  <si>
    <t>[zoom] in on [design object]</t>
  </si>
  <si>
    <t>[update] [text object] with [keyboard]</t>
  </si>
  <si>
    <t>activate rectangle tool</t>
  </si>
  <si>
    <t>[drag] to [create] [design object] using [cursor]</t>
  </si>
  <si>
    <t>creating rectangle</t>
  </si>
  <si>
    <t>update design object size</t>
  </si>
  <si>
    <t>update corner radius</t>
  </si>
  <si>
    <t>update autolayout layout</t>
  </si>
  <si>
    <t>update fill</t>
  </si>
  <si>
    <t>[expand] [gui menu] + [scroll] [gui panel] + [click gui icon]</t>
  </si>
  <si>
    <t>information revealing; update</t>
  </si>
  <si>
    <t>[create] [design object] at [new position] on [canvas]</t>
  </si>
  <si>
    <t>difficulty with existing speech tools</t>
  </si>
  <si>
    <t>insights</t>
  </si>
  <si>
    <t>activate text tool</t>
  </si>
  <si>
    <t>purpose/intent</t>
  </si>
  <si>
    <t>[scroll] [gui panel] + [expand] [gui menu] + [click gui icon]</t>
  </si>
  <si>
    <t>[expand] [gui menu] + [click] [gui icon]</t>
  </si>
  <si>
    <t>multistep</t>
  </si>
  <si>
    <t>true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</si>
</sst>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name val="Aptos Narrow"/>
    </font>
    <font>
      <u/>
      <sz val="11"/>
      <color theme="10"/>
      <name val="Calibri"/>
      <family val="2"/>
      <scheme val="minor"/>
    </font>
    <font>
      <sz val="12"/>
      <color theme="1"/>
      <name val="Aptos Narrow"/>
    </font>
    <font>
      <sz val="11"/>
      <color theme="1"/>
      <name val="Aptos Narrow"/>
    </font>
    <font>
      <sz val="12"/>
      <color rgb="FF000000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2" fontId="1" fillId="0" borderId="0" xfId="0" applyNumberFormat="1" applyFont="1"/>
    <xf numFmtId="0" fontId="2" fillId="0" borderId="0" xfId="1"/>
    <xf numFmtId="2" fontId="0" fillId="0" borderId="0" xfId="0" applyNumberFormat="1"/>
    <xf numFmtId="2" fontId="3" fillId="0" borderId="0" xfId="0" applyNumberFormat="1" applyFont="1"/>
    <xf numFmtId="0" fontId="4" fillId="0" borderId="0" xfId="0" applyFont="1"/>
    <xf numFmtId="0" fontId="3" fillId="0" borderId="0" xfId="0" applyFont="1"/>
    <xf numFmtId="0" fontId="5" fillId="0" borderId="0" xfId="0" applyFont="1"/>
    <xf numFmtId="2" fontId="4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JkC4o1U5zgM&amp;list=PLfrBp-7QhDqtmJ8oAjYhP6PLQqwDI0z1S&amp;index=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1"/>
  <sheetViews>
    <sheetView tabSelected="1" topLeftCell="D5" zoomScale="125" zoomScaleNormal="68" workbookViewId="0">
      <selection activeCell="F16" sqref="F16"/>
    </sheetView>
  </sheetViews>
  <sheetFormatPr baseColWidth="10" defaultColWidth="8.83203125" defaultRowHeight="15" x14ac:dyDescent="0.2"/>
  <cols>
    <col min="1" max="1" width="4.6640625" bestFit="1" customWidth="1"/>
    <col min="2" max="2" width="5.5" bestFit="1" customWidth="1"/>
    <col min="3" max="3" width="7" bestFit="1" customWidth="1"/>
    <col min="4" max="4" width="8" style="4" customWidth="1"/>
    <col min="5" max="5" width="8" customWidth="1"/>
    <col min="6" max="6" width="65.1640625" bestFit="1" customWidth="1"/>
    <col min="7" max="7" width="20" customWidth="1"/>
    <col min="8" max="8" width="18" customWidth="1"/>
    <col min="9" max="9" width="15" customWidth="1"/>
    <col min="10" max="10" width="22" customWidth="1"/>
    <col min="11" max="11" width="12.33203125" bestFit="1" customWidth="1"/>
    <col min="12" max="12" width="11.5" bestFit="1" customWidth="1"/>
    <col min="13" max="14" width="13" customWidth="1"/>
    <col min="15" max="15" width="30.33203125" bestFit="1" customWidth="1"/>
    <col min="16" max="16" width="21.1640625" customWidth="1"/>
    <col min="17" max="17" width="17.5" bestFit="1" customWidth="1"/>
    <col min="18" max="18" width="10.1640625" bestFit="1" customWidth="1"/>
  </cols>
  <sheetData>
    <row r="1" spans="1:19" ht="16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7</v>
      </c>
      <c r="J1" s="1" t="s">
        <v>84</v>
      </c>
      <c r="K1" s="1" t="s">
        <v>9</v>
      </c>
      <c r="L1" s="1" t="s">
        <v>10</v>
      </c>
      <c r="M1" s="1" t="s">
        <v>19</v>
      </c>
      <c r="N1" s="1" t="s">
        <v>88</v>
      </c>
      <c r="O1" s="1" t="s">
        <v>81</v>
      </c>
      <c r="P1" s="1" t="s">
        <v>82</v>
      </c>
    </row>
    <row r="2" spans="1:19" ht="16" x14ac:dyDescent="0.2">
      <c r="A2" s="1" t="s">
        <v>38</v>
      </c>
      <c r="B2" s="3" t="s">
        <v>33</v>
      </c>
      <c r="C2" s="1">
        <v>1</v>
      </c>
      <c r="D2" s="5">
        <v>0.21</v>
      </c>
      <c r="E2" s="2">
        <f>D2</f>
        <v>0.21</v>
      </c>
      <c r="F2" s="1" t="s">
        <v>36</v>
      </c>
      <c r="G2" s="1" t="s">
        <v>20</v>
      </c>
      <c r="H2" s="1" t="s">
        <v>28</v>
      </c>
      <c r="I2" s="1"/>
      <c r="J2" s="1"/>
      <c r="K2" s="1">
        <f>(INT(D2)*60+(D2-INT(D2))*100)-(INT($D$2)*60+($D$2-INT($D$2))*100)</f>
        <v>0</v>
      </c>
      <c r="L2" s="1">
        <f>(INT(E2)*60+(E2-INT(E2))*100)-(INT($D$2)*60+($D$2-INT($D$2))*100)</f>
        <v>0</v>
      </c>
      <c r="M2" s="6">
        <f>L2-K2</f>
        <v>0</v>
      </c>
      <c r="N2" s="6" t="str">
        <f>IF(M2=0,"&lt;1 second","&lt;"&amp;(ROUND(M2,2)+1)&amp;" seconds")</f>
        <v>&lt;1 second</v>
      </c>
      <c r="O2" s="6" t="s">
        <v>41</v>
      </c>
      <c r="P2" s="1" t="s">
        <v>63</v>
      </c>
      <c r="Q2" s="6"/>
      <c r="R2" s="6"/>
      <c r="S2" s="6"/>
    </row>
    <row r="3" spans="1:19" ht="16" x14ac:dyDescent="0.2">
      <c r="A3" s="7"/>
      <c r="B3" s="7"/>
      <c r="C3" s="7"/>
      <c r="D3" s="5">
        <v>0.22</v>
      </c>
      <c r="E3" s="2">
        <f t="shared" ref="E3:E52" si="0">D3</f>
        <v>0.22</v>
      </c>
      <c r="F3" s="7" t="s">
        <v>64</v>
      </c>
      <c r="G3" s="7" t="s">
        <v>65</v>
      </c>
      <c r="H3" s="7" t="s">
        <v>26</v>
      </c>
      <c r="I3" s="6"/>
      <c r="J3" s="7" t="s">
        <v>83</v>
      </c>
      <c r="K3" s="1">
        <f>(INT(D3)*60+(D3-INT(D3))*100)-(INT($D$2)*60+($D$2-INT($D$2))*100)</f>
        <v>1</v>
      </c>
      <c r="L3" s="1">
        <f>(INT(E3)*60+(E3-INT(E3))*100)-(INT($D$2)*60+($D$2-INT($D$2))*100)</f>
        <v>1</v>
      </c>
      <c r="M3" s="6">
        <f t="shared" ref="M3:M52" si="1">L3-K3</f>
        <v>0</v>
      </c>
      <c r="N3" s="6" t="str">
        <f t="shared" ref="N3:N52" si="2">IF(M3=0,"&lt;1 second","&lt;"&amp;(ROUND(M3,2)+1)&amp;" seconds")</f>
        <v>&lt;1 second</v>
      </c>
      <c r="O3" s="6" t="s">
        <v>40</v>
      </c>
      <c r="P3" s="7"/>
      <c r="Q3" s="6"/>
      <c r="R3" s="6"/>
      <c r="S3" s="6"/>
    </row>
    <row r="4" spans="1:19" ht="16" x14ac:dyDescent="0.2">
      <c r="A4" s="7"/>
      <c r="B4" s="7"/>
      <c r="C4" s="7"/>
      <c r="D4" s="5">
        <v>0.22</v>
      </c>
      <c r="E4" s="2">
        <f t="shared" si="0"/>
        <v>0.22</v>
      </c>
      <c r="F4" s="7" t="s">
        <v>11</v>
      </c>
      <c r="G4" s="1" t="s">
        <v>20</v>
      </c>
      <c r="H4" s="7" t="s">
        <v>28</v>
      </c>
      <c r="I4" s="7"/>
      <c r="J4" s="1"/>
      <c r="K4" s="1">
        <f>(INT(D4)*60+(D4-INT(D4))*100)-(INT($D$2)*60+($D$2-INT($D$2))*100)</f>
        <v>1</v>
      </c>
      <c r="L4" s="1">
        <f>(INT(E4)*60+(E4-INT(E4))*100)-(INT($D$2)*60+($D$2-INT($D$2))*100)</f>
        <v>1</v>
      </c>
      <c r="M4" s="6">
        <f t="shared" si="1"/>
        <v>0</v>
      </c>
      <c r="N4" s="6" t="str">
        <f t="shared" si="2"/>
        <v>&lt;1 second</v>
      </c>
      <c r="O4" s="6" t="s">
        <v>39</v>
      </c>
      <c r="P4" s="7"/>
      <c r="Q4" s="6"/>
      <c r="R4" s="6"/>
      <c r="S4" s="6"/>
    </row>
    <row r="5" spans="1:19" ht="16" x14ac:dyDescent="0.2">
      <c r="A5" s="7"/>
      <c r="B5" s="7"/>
      <c r="C5" s="7"/>
      <c r="D5" s="5">
        <v>0.23</v>
      </c>
      <c r="E5" s="5">
        <f t="shared" si="0"/>
        <v>0.23</v>
      </c>
      <c r="F5" s="7" t="s">
        <v>59</v>
      </c>
      <c r="G5" s="7" t="s">
        <v>50</v>
      </c>
      <c r="H5" s="7" t="s">
        <v>26</v>
      </c>
      <c r="I5" s="7" t="s">
        <v>30</v>
      </c>
      <c r="K5" s="1">
        <f>(INT(D5)*60+(D5-INT(D5))*100)-(INT($D$2)*60+($D$2-INT($D$2))*100)</f>
        <v>2</v>
      </c>
      <c r="L5" s="1">
        <f>(INT(E5)*60+(E5-INT(E5))*100)-(INT($D$2)*60+($D$2-INT($D$2))*100)</f>
        <v>2</v>
      </c>
      <c r="M5" s="6">
        <f t="shared" si="1"/>
        <v>0</v>
      </c>
      <c r="N5" s="6" t="str">
        <f t="shared" si="2"/>
        <v>&lt;1 second</v>
      </c>
      <c r="O5" s="6" t="s">
        <v>39</v>
      </c>
      <c r="P5" s="7" t="s">
        <v>62</v>
      </c>
      <c r="Q5" s="6"/>
      <c r="R5" s="6"/>
      <c r="S5" s="6"/>
    </row>
    <row r="6" spans="1:19" ht="16" x14ac:dyDescent="0.2">
      <c r="A6" s="7"/>
      <c r="B6" s="7"/>
      <c r="C6" s="7"/>
      <c r="D6" s="5">
        <v>0.23</v>
      </c>
      <c r="E6" s="5">
        <v>0.26</v>
      </c>
      <c r="F6" s="7" t="s">
        <v>32</v>
      </c>
      <c r="G6" s="7" t="s">
        <v>47</v>
      </c>
      <c r="H6" s="7" t="s">
        <v>27</v>
      </c>
      <c r="I6" s="7" t="s">
        <v>30</v>
      </c>
      <c r="J6" s="7"/>
      <c r="K6" s="1">
        <f>(INT(D6)*60+(D6-INT(D6))*100)-(INT($D$2)*60+($D$2-INT($D$2))*100)</f>
        <v>2</v>
      </c>
      <c r="L6" s="1">
        <f>(INT(E6)*60+(E6-INT(E6))*100)-(INT($D$2)*60+($D$2-INT($D$2))*100)</f>
        <v>5</v>
      </c>
      <c r="M6" s="6">
        <f t="shared" si="1"/>
        <v>3</v>
      </c>
      <c r="N6" s="6" t="str">
        <f t="shared" si="2"/>
        <v>&lt;4 seconds</v>
      </c>
      <c r="O6" s="6" t="s">
        <v>42</v>
      </c>
      <c r="P6" s="7"/>
      <c r="Q6" s="6"/>
      <c r="R6" s="6"/>
      <c r="S6" s="6"/>
    </row>
    <row r="7" spans="1:19" ht="16" x14ac:dyDescent="0.2">
      <c r="A7" s="7"/>
      <c r="B7" s="7"/>
      <c r="C7" s="7"/>
      <c r="D7" s="5">
        <v>0.26</v>
      </c>
      <c r="E7" s="5">
        <v>0.27</v>
      </c>
      <c r="F7" s="7" t="s">
        <v>60</v>
      </c>
      <c r="G7" s="7" t="s">
        <v>51</v>
      </c>
      <c r="H7" s="7" t="s">
        <v>26</v>
      </c>
      <c r="I7" s="7"/>
      <c r="J7" s="7" t="s">
        <v>67</v>
      </c>
      <c r="K7" s="1">
        <f>(INT(D7)*60+(D7-INT(D7))*100)-(INT($D$2)*60+($D$2-INT($D$2))*100)</f>
        <v>5</v>
      </c>
      <c r="L7" s="1">
        <f>(INT(E7)*60+(E7-INT(E7))*100)-(INT($D$2)*60+($D$2-INT($D$2))*100)</f>
        <v>6</v>
      </c>
      <c r="M7" s="6">
        <f t="shared" si="1"/>
        <v>1</v>
      </c>
      <c r="N7" s="6" t="str">
        <f t="shared" si="2"/>
        <v>&lt;2 seconds</v>
      </c>
      <c r="O7" s="6" t="s">
        <v>40</v>
      </c>
      <c r="P7" s="7"/>
      <c r="Q7" s="6"/>
      <c r="R7" s="6"/>
      <c r="S7" s="6"/>
    </row>
    <row r="8" spans="1:19" ht="16" x14ac:dyDescent="0.2">
      <c r="A8" s="7"/>
      <c r="B8" s="7"/>
      <c r="C8" s="7"/>
      <c r="D8" s="5">
        <v>0.27</v>
      </c>
      <c r="E8" s="5">
        <v>0.28000000000000003</v>
      </c>
      <c r="F8" s="7" t="s">
        <v>12</v>
      </c>
      <c r="G8" s="7" t="s">
        <v>51</v>
      </c>
      <c r="H8" s="7" t="s">
        <v>29</v>
      </c>
      <c r="I8" s="7"/>
      <c r="J8" s="7" t="s">
        <v>66</v>
      </c>
      <c r="K8" s="1">
        <f>(INT(D8)*60+(D8-INT(D8))*100)-(INT($D$2)*60+($D$2-INT($D$2))*100)</f>
        <v>6</v>
      </c>
      <c r="L8" s="1">
        <f>(INT(E8)*60+(E8-INT(E8))*100)-(INT($D$2)*60+($D$2-INT($D$2))*100)</f>
        <v>7.0000000000000036</v>
      </c>
      <c r="M8" s="6">
        <f t="shared" si="1"/>
        <v>1.0000000000000036</v>
      </c>
      <c r="N8" s="6" t="str">
        <f t="shared" si="2"/>
        <v>&lt;2 seconds</v>
      </c>
      <c r="O8" s="6" t="s">
        <v>42</v>
      </c>
      <c r="P8" s="7"/>
      <c r="Q8" s="6"/>
      <c r="R8" s="6"/>
      <c r="S8" s="6"/>
    </row>
    <row r="9" spans="1:19" ht="16" x14ac:dyDescent="0.2">
      <c r="A9" s="7"/>
      <c r="B9" s="7"/>
      <c r="C9" s="7"/>
      <c r="D9" s="5">
        <v>0.28999999999999998</v>
      </c>
      <c r="E9" s="5">
        <f>D9</f>
        <v>0.28999999999999998</v>
      </c>
      <c r="F9" s="7" t="s">
        <v>14</v>
      </c>
      <c r="G9" s="7" t="s">
        <v>23</v>
      </c>
      <c r="H9" s="7" t="s">
        <v>26</v>
      </c>
      <c r="I9" s="7"/>
      <c r="J9" s="7"/>
      <c r="K9" s="1">
        <f>(INT(D9)*60+(D9-INT(D9))*100)-(INT($D$2)*60+($D$2-INT($D$2))*100)</f>
        <v>7.9999999999999964</v>
      </c>
      <c r="L9" s="1">
        <f>(INT(E9)*60+(E9-INT(E9))*100)-(INT($D$2)*60+($D$2-INT($D$2))*100)</f>
        <v>7.9999999999999964</v>
      </c>
      <c r="M9" s="6">
        <f t="shared" si="1"/>
        <v>0</v>
      </c>
      <c r="N9" s="6" t="str">
        <f t="shared" si="2"/>
        <v>&lt;1 second</v>
      </c>
      <c r="O9" s="6" t="s">
        <v>41</v>
      </c>
      <c r="P9" s="7"/>
      <c r="Q9" s="6"/>
      <c r="R9" s="6"/>
      <c r="S9" s="6"/>
    </row>
    <row r="10" spans="1:19" ht="16" x14ac:dyDescent="0.2">
      <c r="A10" s="7"/>
      <c r="B10" s="7"/>
      <c r="C10" s="7"/>
      <c r="D10" s="5">
        <v>0.3</v>
      </c>
      <c r="E10" s="5">
        <v>0.33</v>
      </c>
      <c r="F10" s="7" t="s">
        <v>31</v>
      </c>
      <c r="G10" s="7" t="s">
        <v>23</v>
      </c>
      <c r="H10" s="7" t="s">
        <v>26</v>
      </c>
      <c r="I10" s="7"/>
      <c r="J10" s="7"/>
      <c r="K10" s="1">
        <f>(INT(D10)*60+(D10-INT(D10))*100)-(INT($D$2)*60+($D$2-INT($D$2))*100)</f>
        <v>9</v>
      </c>
      <c r="L10" s="1">
        <f>(INT(E10)*60+(E10-INT(E10))*100)-(INT($D$2)*60+($D$2-INT($D$2))*100)</f>
        <v>12</v>
      </c>
      <c r="M10" s="6">
        <f t="shared" si="1"/>
        <v>3</v>
      </c>
      <c r="N10" s="6" t="str">
        <f t="shared" si="2"/>
        <v>&lt;4 seconds</v>
      </c>
      <c r="O10" s="6" t="s">
        <v>42</v>
      </c>
      <c r="P10" s="7"/>
      <c r="Q10" s="6"/>
      <c r="R10" s="6"/>
      <c r="S10" s="6"/>
    </row>
    <row r="11" spans="1:19" ht="16" x14ac:dyDescent="0.2">
      <c r="A11" s="7"/>
      <c r="B11" s="7"/>
      <c r="C11" s="7"/>
      <c r="D11" s="5">
        <v>0.33</v>
      </c>
      <c r="E11" s="5">
        <v>0.34</v>
      </c>
      <c r="F11" s="7" t="s">
        <v>12</v>
      </c>
      <c r="G11" s="7" t="s">
        <v>51</v>
      </c>
      <c r="H11" s="7" t="s">
        <v>26</v>
      </c>
      <c r="I11" s="7"/>
      <c r="J11" s="7" t="s">
        <v>48</v>
      </c>
      <c r="K11" s="1">
        <f>(INT(D11)*60+(D11-INT(D11))*100)-(INT($D$2)*60+($D$2-INT($D$2))*100)</f>
        <v>12</v>
      </c>
      <c r="L11" s="1">
        <f>(INT(E11)*60+(E11-INT(E11))*100)-(INT($D$2)*60+($D$2-INT($D$2))*100)</f>
        <v>13</v>
      </c>
      <c r="M11" s="6">
        <f t="shared" si="1"/>
        <v>1</v>
      </c>
      <c r="N11" s="6" t="str">
        <f t="shared" si="2"/>
        <v>&lt;2 seconds</v>
      </c>
      <c r="O11" s="6" t="s">
        <v>43</v>
      </c>
      <c r="P11" s="7"/>
      <c r="Q11" s="6"/>
      <c r="R11" s="6"/>
      <c r="S11" s="6"/>
    </row>
    <row r="12" spans="1:19" ht="16" x14ac:dyDescent="0.2">
      <c r="A12" s="7"/>
      <c r="B12" s="7"/>
      <c r="C12" s="7"/>
      <c r="D12" s="5">
        <v>0.35</v>
      </c>
      <c r="E12" s="5">
        <f t="shared" ref="E12:E16" si="3">D12</f>
        <v>0.35</v>
      </c>
      <c r="F12" s="7" t="s">
        <v>61</v>
      </c>
      <c r="G12" s="7" t="s">
        <v>52</v>
      </c>
      <c r="H12" s="7" t="s">
        <v>27</v>
      </c>
      <c r="I12" s="7"/>
      <c r="J12" s="7"/>
      <c r="K12" s="1">
        <f>(INT(D12)*60+(D12-INT(D12))*100)-(INT($D$2)*60+($D$2-INT($D$2))*100)</f>
        <v>14</v>
      </c>
      <c r="L12" s="1">
        <f>(INT(E12)*60+(E12-INT(E12))*100)-(INT($D$2)*60+($D$2-INT($D$2))*100)</f>
        <v>14</v>
      </c>
      <c r="M12" s="6">
        <f t="shared" si="1"/>
        <v>0</v>
      </c>
      <c r="N12" s="6" t="str">
        <f t="shared" si="2"/>
        <v>&lt;1 second</v>
      </c>
      <c r="O12" s="6" t="s">
        <v>42</v>
      </c>
      <c r="P12" s="7"/>
      <c r="Q12" s="6"/>
      <c r="R12" s="6"/>
      <c r="S12" s="6"/>
    </row>
    <row r="13" spans="1:19" ht="16" x14ac:dyDescent="0.2">
      <c r="A13" s="7"/>
      <c r="B13" s="7"/>
      <c r="C13" s="7"/>
      <c r="D13" s="5">
        <v>0.35</v>
      </c>
      <c r="E13" s="5">
        <f t="shared" si="3"/>
        <v>0.35</v>
      </c>
      <c r="F13" s="7" t="s">
        <v>13</v>
      </c>
      <c r="G13" s="7" t="s">
        <v>23</v>
      </c>
      <c r="H13" s="7" t="s">
        <v>26</v>
      </c>
      <c r="I13" s="7"/>
      <c r="J13" s="7"/>
      <c r="K13" s="1">
        <f>(INT(D13)*60+(D13-INT(D13))*100)-(INT($D$2)*60+($D$2-INT($D$2))*100)</f>
        <v>14</v>
      </c>
      <c r="L13" s="1">
        <f>(INT(E13)*60+(E13-INT(E13))*100)-(INT($D$2)*60+($D$2-INT($D$2))*100)</f>
        <v>14</v>
      </c>
      <c r="M13" s="6">
        <f t="shared" si="1"/>
        <v>0</v>
      </c>
      <c r="N13" s="6" t="str">
        <f t="shared" si="2"/>
        <v>&lt;1 second</v>
      </c>
      <c r="O13" s="6" t="s">
        <v>41</v>
      </c>
      <c r="P13" s="7"/>
      <c r="Q13" s="6"/>
      <c r="R13" s="6"/>
      <c r="S13" s="6"/>
    </row>
    <row r="14" spans="1:19" ht="16" x14ac:dyDescent="0.2">
      <c r="A14" s="7"/>
      <c r="B14" s="7"/>
      <c r="C14" s="7"/>
      <c r="D14" s="5">
        <v>0.36</v>
      </c>
      <c r="E14" s="5">
        <f t="shared" si="3"/>
        <v>0.36</v>
      </c>
      <c r="F14" s="7" t="s">
        <v>15</v>
      </c>
      <c r="G14" s="7" t="s">
        <v>21</v>
      </c>
      <c r="H14" s="7" t="s">
        <v>26</v>
      </c>
      <c r="I14" s="7"/>
      <c r="J14" s="7"/>
      <c r="K14" s="1">
        <f>(INT(D14)*60+(D14-INT(D14))*100)-(INT($D$2)*60+($D$2-INT($D$2))*100)</f>
        <v>15</v>
      </c>
      <c r="L14" s="1">
        <f>(INT(E14)*60+(E14-INT(E14))*100)-(INT($D$2)*60+($D$2-INT($D$2))*100)</f>
        <v>15</v>
      </c>
      <c r="M14" s="6">
        <f t="shared" si="1"/>
        <v>0</v>
      </c>
      <c r="N14" s="6" t="str">
        <f t="shared" si="2"/>
        <v>&lt;1 second</v>
      </c>
      <c r="O14" s="6" t="s">
        <v>41</v>
      </c>
      <c r="P14" s="7"/>
      <c r="Q14" s="6"/>
      <c r="R14" s="6"/>
      <c r="S14" s="6"/>
    </row>
    <row r="15" spans="1:19" ht="16" x14ac:dyDescent="0.2">
      <c r="A15" s="7"/>
      <c r="B15" s="7"/>
      <c r="C15" s="7"/>
      <c r="D15" s="5">
        <v>0.36</v>
      </c>
      <c r="E15" s="5">
        <f t="shared" si="3"/>
        <v>0.36</v>
      </c>
      <c r="F15" s="7" t="s">
        <v>37</v>
      </c>
      <c r="G15" s="7" t="s">
        <v>53</v>
      </c>
      <c r="H15" s="7" t="s">
        <v>27</v>
      </c>
      <c r="I15" s="7"/>
      <c r="J15" s="7"/>
      <c r="K15" s="1">
        <f>(INT(D15)*60+(D15-INT(D15))*100)-(INT($D$2)*60+($D$2-INT($D$2))*100)</f>
        <v>15</v>
      </c>
      <c r="L15" s="1">
        <f>(INT(E15)*60+(E15-INT(E15))*100)-(INT($D$2)*60+($D$2-INT($D$2))*100)</f>
        <v>15</v>
      </c>
      <c r="M15" s="6">
        <f t="shared" si="1"/>
        <v>0</v>
      </c>
      <c r="N15" s="6" t="str">
        <f t="shared" si="2"/>
        <v>&lt;1 second</v>
      </c>
      <c r="O15" s="6" t="s">
        <v>42</v>
      </c>
      <c r="P15" s="7"/>
      <c r="Q15" s="6"/>
      <c r="R15" s="6"/>
      <c r="S15" s="6"/>
    </row>
    <row r="16" spans="1:19" ht="16" x14ac:dyDescent="0.2">
      <c r="A16" s="7"/>
      <c r="B16" s="7"/>
      <c r="C16" s="7"/>
      <c r="D16" s="5">
        <v>0.37</v>
      </c>
      <c r="E16" s="5">
        <f t="shared" si="3"/>
        <v>0.37</v>
      </c>
      <c r="F16" s="7" t="s">
        <v>12</v>
      </c>
      <c r="G16" s="7" t="s">
        <v>53</v>
      </c>
      <c r="H16" s="7" t="s">
        <v>29</v>
      </c>
      <c r="I16" s="7" t="s">
        <v>56</v>
      </c>
      <c r="J16" s="7" t="s">
        <v>58</v>
      </c>
      <c r="K16" s="1">
        <f>(INT(D16)*60+(D16-INT(D16))*100)-(INT($D$2)*60+($D$2-INT($D$2))*100)</f>
        <v>16</v>
      </c>
      <c r="L16" s="1">
        <f>(INT(E16)*60+(E16-INT(E16))*100)-(INT($D$2)*60+($D$2-INT($D$2))*100)</f>
        <v>16</v>
      </c>
      <c r="M16" s="6">
        <f t="shared" si="1"/>
        <v>0</v>
      </c>
      <c r="N16" s="6" t="str">
        <f t="shared" si="2"/>
        <v>&lt;1 second</v>
      </c>
      <c r="O16" s="6" t="s">
        <v>42</v>
      </c>
      <c r="P16" s="7"/>
      <c r="Q16" s="6"/>
      <c r="R16" s="6"/>
      <c r="S16" s="6"/>
    </row>
    <row r="17" spans="1:19" ht="16" x14ac:dyDescent="0.2">
      <c r="A17" s="7"/>
      <c r="B17" s="7"/>
      <c r="C17" s="7"/>
      <c r="D17" s="5">
        <v>0.37</v>
      </c>
      <c r="E17" s="5">
        <v>0.38</v>
      </c>
      <c r="F17" s="7" t="s">
        <v>16</v>
      </c>
      <c r="G17" s="7" t="s">
        <v>21</v>
      </c>
      <c r="H17" s="7" t="s">
        <v>26</v>
      </c>
      <c r="I17" s="7" t="s">
        <v>30</v>
      </c>
      <c r="J17" s="7"/>
      <c r="K17" s="1">
        <f>(INT(D17)*60+(D17-INT(D17))*100)-(INT($D$2)*60+($D$2-INT($D$2))*100)</f>
        <v>16</v>
      </c>
      <c r="L17" s="1">
        <f>(INT(E17)*60+(E17-INT(E17))*100)-(INT($D$2)*60+($D$2-INT($D$2))*100)</f>
        <v>17</v>
      </c>
      <c r="M17" s="6">
        <f t="shared" si="1"/>
        <v>1</v>
      </c>
      <c r="N17" s="6" t="str">
        <f t="shared" si="2"/>
        <v>&lt;2 seconds</v>
      </c>
      <c r="O17" s="6" t="s">
        <v>39</v>
      </c>
      <c r="P17" s="7"/>
      <c r="Q17" s="6"/>
      <c r="R17" s="6"/>
      <c r="S17" s="6"/>
    </row>
    <row r="18" spans="1:19" ht="16" x14ac:dyDescent="0.2">
      <c r="A18" s="7"/>
      <c r="B18" s="7"/>
      <c r="C18" s="7"/>
      <c r="D18" s="5">
        <v>0.38</v>
      </c>
      <c r="E18" s="5">
        <f>D18</f>
        <v>0.38</v>
      </c>
      <c r="F18" s="7" t="s">
        <v>16</v>
      </c>
      <c r="G18" s="7" t="s">
        <v>21</v>
      </c>
      <c r="H18" s="7" t="s">
        <v>26</v>
      </c>
      <c r="I18" s="7" t="s">
        <v>30</v>
      </c>
      <c r="J18" s="7"/>
      <c r="K18" s="1">
        <f>(INT(D18)*60+(D18-INT(D18))*100)-(INT($D$2)*60+($D$2-INT($D$2))*100)</f>
        <v>17</v>
      </c>
      <c r="L18" s="1">
        <f>(INT(E18)*60+(E18-INT(E18))*100)-(INT($D$2)*60+($D$2-INT($D$2))*100)</f>
        <v>17</v>
      </c>
      <c r="M18" s="6">
        <f t="shared" si="1"/>
        <v>0</v>
      </c>
      <c r="N18" s="6" t="str">
        <f t="shared" si="2"/>
        <v>&lt;1 second</v>
      </c>
      <c r="O18" s="6" t="s">
        <v>39</v>
      </c>
      <c r="P18" s="7"/>
      <c r="Q18" s="6"/>
      <c r="R18" s="6"/>
      <c r="S18" s="6"/>
    </row>
    <row r="19" spans="1:19" ht="16" x14ac:dyDescent="0.2">
      <c r="A19" s="7"/>
      <c r="B19" s="7"/>
      <c r="C19" s="7"/>
      <c r="D19" s="5">
        <v>0.38</v>
      </c>
      <c r="E19" s="5">
        <v>0.39</v>
      </c>
      <c r="F19" s="7" t="s">
        <v>68</v>
      </c>
      <c r="G19" s="7" t="s">
        <v>24</v>
      </c>
      <c r="H19" s="7"/>
      <c r="I19" s="7"/>
      <c r="J19" s="7" t="s">
        <v>24</v>
      </c>
      <c r="K19" s="1">
        <f>(INT(D19)*60+(D19-INT(D19))*100)-(INT($D$2)*60+($D$2-INT($D$2))*100)</f>
        <v>17</v>
      </c>
      <c r="L19" s="1">
        <f>(INT(E19)*60+(E19-INT(E19))*100)-(INT($D$2)*60+($D$2-INT($D$2))*100)</f>
        <v>18</v>
      </c>
      <c r="M19" s="6">
        <f t="shared" si="1"/>
        <v>1</v>
      </c>
      <c r="N19" s="6" t="str">
        <f t="shared" si="2"/>
        <v>&lt;2 seconds</v>
      </c>
      <c r="O19" s="6" t="s">
        <v>54</v>
      </c>
      <c r="P19" s="7"/>
      <c r="Q19" s="6"/>
      <c r="R19" s="6"/>
      <c r="S19" s="6"/>
    </row>
    <row r="20" spans="1:19" ht="16" x14ac:dyDescent="0.2">
      <c r="A20" s="7"/>
      <c r="B20" s="7"/>
      <c r="C20" s="7"/>
      <c r="D20" s="5">
        <v>0.39</v>
      </c>
      <c r="E20" s="5">
        <v>0.4</v>
      </c>
      <c r="F20" s="7" t="s">
        <v>55</v>
      </c>
      <c r="G20" s="7" t="s">
        <v>48</v>
      </c>
      <c r="H20" s="8" t="s">
        <v>29</v>
      </c>
      <c r="I20" s="7" t="s">
        <v>56</v>
      </c>
      <c r="J20" s="7" t="s">
        <v>48</v>
      </c>
      <c r="K20" s="1">
        <f>(INT(D20)*60+(D20-INT(D20))*100)-(INT($D$2)*60+($D$2-INT($D$2))*100)</f>
        <v>18</v>
      </c>
      <c r="L20" s="1">
        <f>(INT(E20)*60+(E20-INT(E20))*100)-(INT($D$2)*60+($D$2-INT($D$2))*100)</f>
        <v>19</v>
      </c>
      <c r="M20" s="6">
        <f t="shared" si="1"/>
        <v>1</v>
      </c>
      <c r="N20" s="6" t="str">
        <f t="shared" si="2"/>
        <v>&lt;2 seconds</v>
      </c>
      <c r="O20" s="6" t="s">
        <v>42</v>
      </c>
      <c r="P20" s="7"/>
      <c r="Q20" s="6"/>
      <c r="R20" s="6"/>
      <c r="S20" s="6"/>
    </row>
    <row r="21" spans="1:19" ht="16" x14ac:dyDescent="0.2">
      <c r="A21" s="7"/>
      <c r="B21" s="7"/>
      <c r="C21" s="7"/>
      <c r="D21" s="5">
        <v>0.43</v>
      </c>
      <c r="E21" s="5">
        <v>0.43</v>
      </c>
      <c r="F21" s="7" t="s">
        <v>16</v>
      </c>
      <c r="G21" s="7" t="s">
        <v>21</v>
      </c>
      <c r="H21" s="7" t="s">
        <v>26</v>
      </c>
      <c r="I21" s="7" t="s">
        <v>30</v>
      </c>
      <c r="J21" s="7"/>
      <c r="K21" s="1">
        <f>(INT(D21)*60+(D21-INT(D21))*100)-(INT($D$2)*60+($D$2-INT($D$2))*100)</f>
        <v>22</v>
      </c>
      <c r="L21" s="1">
        <f>(INT(E21)*60+(E21-INT(E21))*100)-(INT($D$2)*60+($D$2-INT($D$2))*100)</f>
        <v>22</v>
      </c>
      <c r="M21" s="6">
        <f t="shared" si="1"/>
        <v>0</v>
      </c>
      <c r="N21" s="6" t="str">
        <f t="shared" si="2"/>
        <v>&lt;1 second</v>
      </c>
      <c r="O21" s="6" t="s">
        <v>39</v>
      </c>
      <c r="P21" s="7"/>
      <c r="Q21" s="6"/>
      <c r="R21" s="6"/>
      <c r="S21" s="6"/>
    </row>
    <row r="22" spans="1:19" ht="16" x14ac:dyDescent="0.2">
      <c r="A22" s="7"/>
      <c r="B22" s="7"/>
      <c r="C22" s="7"/>
      <c r="D22" s="5">
        <v>0.44</v>
      </c>
      <c r="E22" s="5">
        <v>0.46</v>
      </c>
      <c r="F22" s="7" t="s">
        <v>85</v>
      </c>
      <c r="G22" s="7" t="s">
        <v>25</v>
      </c>
      <c r="H22" s="7" t="s">
        <v>28</v>
      </c>
      <c r="I22" s="7" t="s">
        <v>56</v>
      </c>
      <c r="J22" s="7" t="s">
        <v>57</v>
      </c>
      <c r="K22" s="1">
        <f>(INT(D22)*60+(D22-INT(D22))*100)-(INT($D$2)*60+($D$2-INT($D$2))*100)</f>
        <v>23</v>
      </c>
      <c r="L22" s="1">
        <f>(INT(E22)*60+(E22-INT(E22))*100)-(INT($D$2)*60+($D$2-INT($D$2))*100)</f>
        <v>25</v>
      </c>
      <c r="M22" s="6">
        <f t="shared" si="1"/>
        <v>2</v>
      </c>
      <c r="N22" s="6" t="str">
        <f t="shared" si="2"/>
        <v>&lt;3 seconds</v>
      </c>
      <c r="O22" s="6" t="s">
        <v>39</v>
      </c>
      <c r="P22" s="7"/>
      <c r="Q22" s="6"/>
      <c r="R22" s="6"/>
      <c r="S22" s="6"/>
    </row>
    <row r="23" spans="1:19" ht="16" x14ac:dyDescent="0.2">
      <c r="A23" s="7"/>
      <c r="B23" s="7"/>
      <c r="C23" s="7"/>
      <c r="D23" s="5">
        <v>0.47</v>
      </c>
      <c r="E23" s="5">
        <f t="shared" ref="E23:E28" si="4">D23</f>
        <v>0.47</v>
      </c>
      <c r="F23" s="7" t="s">
        <v>18</v>
      </c>
      <c r="G23" s="7" t="s">
        <v>21</v>
      </c>
      <c r="H23" s="7" t="s">
        <v>29</v>
      </c>
      <c r="I23" s="7"/>
      <c r="J23" s="7"/>
      <c r="K23" s="1">
        <f>(INT(D23)*60+(D23-INT(D23))*100)-(INT($D$2)*60+($D$2-INT($D$2))*100)</f>
        <v>26</v>
      </c>
      <c r="L23" s="1">
        <f>(INT(E23)*60+(E23-INT(E23))*100)-(INT($D$2)*60+($D$2-INT($D$2))*100)</f>
        <v>26</v>
      </c>
      <c r="M23" s="6">
        <f t="shared" si="1"/>
        <v>0</v>
      </c>
      <c r="N23" s="6" t="str">
        <f t="shared" si="2"/>
        <v>&lt;1 second</v>
      </c>
      <c r="O23" s="6" t="s">
        <v>39</v>
      </c>
      <c r="P23" s="7"/>
      <c r="Q23" s="6"/>
      <c r="R23" s="6"/>
      <c r="S23" s="6"/>
    </row>
    <row r="24" spans="1:19" ht="16" x14ac:dyDescent="0.2">
      <c r="A24" s="7"/>
      <c r="B24" s="7"/>
      <c r="C24" s="7"/>
      <c r="D24" s="5">
        <v>0.47</v>
      </c>
      <c r="E24" s="5">
        <v>0.48</v>
      </c>
      <c r="F24" s="7" t="s">
        <v>86</v>
      </c>
      <c r="G24" s="7" t="s">
        <v>25</v>
      </c>
      <c r="H24" s="7" t="s">
        <v>26</v>
      </c>
      <c r="I24" s="7"/>
      <c r="J24" s="7" t="s">
        <v>57</v>
      </c>
      <c r="K24" s="1">
        <f>(INT(D24)*60+(D24-INT(D24))*100)-(INT($D$2)*60+($D$2-INT($D$2))*100)</f>
        <v>26</v>
      </c>
      <c r="L24" s="1">
        <f>(INT(E24)*60+(E24-INT(E24))*100)-(INT($D$2)*60+($D$2-INT($D$2))*100)</f>
        <v>27</v>
      </c>
      <c r="M24" s="6">
        <f t="shared" si="1"/>
        <v>1</v>
      </c>
      <c r="N24" s="6" t="str">
        <f t="shared" si="2"/>
        <v>&lt;2 seconds</v>
      </c>
      <c r="O24" s="6" t="s">
        <v>40</v>
      </c>
      <c r="P24" s="7"/>
      <c r="Q24" s="6"/>
      <c r="R24" s="6"/>
      <c r="S24" s="6"/>
    </row>
    <row r="25" spans="1:19" ht="16" x14ac:dyDescent="0.2">
      <c r="A25" s="7"/>
      <c r="B25" s="7"/>
      <c r="C25" s="7"/>
      <c r="D25" s="5">
        <v>0.48</v>
      </c>
      <c r="E25" s="5">
        <f t="shared" si="4"/>
        <v>0.48</v>
      </c>
      <c r="F25" s="7" t="s">
        <v>69</v>
      </c>
      <c r="G25" s="7" t="s">
        <v>20</v>
      </c>
      <c r="H25" s="7" t="s">
        <v>28</v>
      </c>
      <c r="I25" s="7"/>
      <c r="J25" s="7"/>
      <c r="K25" s="1">
        <f>(INT(D25)*60+(D25-INT(D25))*100)-(INT($D$2)*60+($D$2-INT($D$2))*100)</f>
        <v>27</v>
      </c>
      <c r="L25" s="1">
        <f>(INT(E25)*60+(E25-INT(E25))*100)-(INT($D$2)*60+($D$2-INT($D$2))*100)</f>
        <v>27</v>
      </c>
      <c r="M25" s="6">
        <f t="shared" si="1"/>
        <v>0</v>
      </c>
      <c r="N25" s="6" t="str">
        <f t="shared" si="2"/>
        <v>&lt;1 second</v>
      </c>
      <c r="O25" s="6" t="s">
        <v>41</v>
      </c>
      <c r="P25" s="7"/>
      <c r="Q25" s="6"/>
      <c r="R25" s="6"/>
      <c r="S25" s="6"/>
    </row>
    <row r="26" spans="1:19" ht="16" x14ac:dyDescent="0.2">
      <c r="A26" s="7"/>
      <c r="B26" s="7"/>
      <c r="C26" s="7"/>
      <c r="D26" s="5">
        <v>0.48</v>
      </c>
      <c r="E26" s="5">
        <f t="shared" si="4"/>
        <v>0.48</v>
      </c>
      <c r="F26" s="7" t="s">
        <v>34</v>
      </c>
      <c r="G26" s="7" t="s">
        <v>21</v>
      </c>
      <c r="H26" s="7" t="s">
        <v>26</v>
      </c>
      <c r="I26" s="7"/>
      <c r="J26" s="7"/>
      <c r="K26" s="1">
        <f>(INT(D26)*60+(D26-INT(D26))*100)-(INT($D$2)*60+($D$2-INT($D$2))*100)</f>
        <v>27</v>
      </c>
      <c r="L26" s="1">
        <f>(INT(E26)*60+(E26-INT(E26))*100)-(INT($D$2)*60+($D$2-INT($D$2))*100)</f>
        <v>27</v>
      </c>
      <c r="M26" s="6">
        <f t="shared" si="1"/>
        <v>0</v>
      </c>
      <c r="N26" s="6" t="str">
        <f t="shared" si="2"/>
        <v>&lt;1 second</v>
      </c>
      <c r="O26" s="6" t="s">
        <v>39</v>
      </c>
      <c r="P26" s="7"/>
      <c r="Q26" s="6"/>
      <c r="R26" s="6"/>
      <c r="S26" s="6"/>
    </row>
    <row r="27" spans="1:19" ht="16" x14ac:dyDescent="0.2">
      <c r="A27" s="7"/>
      <c r="B27" s="7"/>
      <c r="C27" s="7"/>
      <c r="D27" s="5">
        <v>0.49</v>
      </c>
      <c r="E27" s="5">
        <v>0.55000000000000004</v>
      </c>
      <c r="F27" s="7" t="s">
        <v>70</v>
      </c>
      <c r="G27" s="7" t="s">
        <v>47</v>
      </c>
      <c r="H27" s="7" t="s">
        <v>27</v>
      </c>
      <c r="I27" s="7"/>
      <c r="J27" s="7"/>
      <c r="K27" s="1">
        <f>(INT(D27)*60+(D27-INT(D27))*100)-(INT($D$2)*60+($D$2-INT($D$2))*100)</f>
        <v>28</v>
      </c>
      <c r="L27" s="1">
        <f>(INT(E27)*60+(E27-INT(E27))*100)-(INT($D$2)*60+($D$2-INT($D$2))*100)</f>
        <v>34.000000000000007</v>
      </c>
      <c r="M27" s="6">
        <f t="shared" si="1"/>
        <v>6.0000000000000071</v>
      </c>
      <c r="N27" s="6" t="str">
        <f t="shared" si="2"/>
        <v>&lt;7 seconds</v>
      </c>
      <c r="O27" s="6" t="s">
        <v>40</v>
      </c>
      <c r="P27" s="7"/>
      <c r="Q27" s="6"/>
      <c r="R27" s="6"/>
      <c r="S27" s="6"/>
    </row>
    <row r="28" spans="1:19" ht="16" x14ac:dyDescent="0.2">
      <c r="A28" s="7"/>
      <c r="B28" s="7"/>
      <c r="C28" s="7"/>
      <c r="D28" s="5">
        <v>0.56000000000000005</v>
      </c>
      <c r="E28" s="5">
        <f t="shared" si="4"/>
        <v>0.56000000000000005</v>
      </c>
      <c r="F28" s="7" t="s">
        <v>34</v>
      </c>
      <c r="G28" s="7" t="s">
        <v>21</v>
      </c>
      <c r="H28" s="7" t="s">
        <v>26</v>
      </c>
      <c r="I28" s="7"/>
      <c r="J28" s="7"/>
      <c r="K28" s="1">
        <f>(INT(D28)*60+(D28-INT(D28))*100)-(INT($D$2)*60+($D$2-INT($D$2))*100)</f>
        <v>35.000000000000007</v>
      </c>
      <c r="L28" s="1">
        <f>(INT(E28)*60+(E28-INT(E28))*100)-(INT($D$2)*60+($D$2-INT($D$2))*100)</f>
        <v>35.000000000000007</v>
      </c>
      <c r="M28" s="6">
        <f t="shared" si="1"/>
        <v>0</v>
      </c>
      <c r="N28" s="6" t="str">
        <f t="shared" si="2"/>
        <v>&lt;1 second</v>
      </c>
      <c r="O28" s="6" t="s">
        <v>39</v>
      </c>
      <c r="P28" s="7"/>
      <c r="Q28" s="6"/>
      <c r="R28" s="6"/>
      <c r="S28" s="6"/>
    </row>
    <row r="29" spans="1:19" ht="16" x14ac:dyDescent="0.2">
      <c r="A29" s="7"/>
      <c r="B29" s="7"/>
      <c r="C29" s="7"/>
      <c r="D29" s="5">
        <v>0.56000000000000005</v>
      </c>
      <c r="E29" s="5">
        <v>0.57999999999999996</v>
      </c>
      <c r="F29" s="7" t="s">
        <v>70</v>
      </c>
      <c r="G29" s="7" t="s">
        <v>47</v>
      </c>
      <c r="H29" s="7" t="s">
        <v>27</v>
      </c>
      <c r="I29" s="7"/>
      <c r="J29" s="7"/>
      <c r="K29" s="1">
        <f>(INT(D29)*60+(D29-INT(D29))*100)-(INT($D$2)*60+($D$2-INT($D$2))*100)</f>
        <v>35.000000000000007</v>
      </c>
      <c r="L29" s="1">
        <f>(INT(E29)*60+(E29-INT(E29))*100)-(INT($D$2)*60+($D$2-INT($D$2))*100)</f>
        <v>36.999999999999993</v>
      </c>
      <c r="M29" s="6">
        <f t="shared" si="1"/>
        <v>1.9999999999999858</v>
      </c>
      <c r="N29" s="6" t="str">
        <f t="shared" si="2"/>
        <v>&lt;3 seconds</v>
      </c>
      <c r="O29" s="6" t="s">
        <v>40</v>
      </c>
      <c r="P29" s="7"/>
      <c r="Q29" s="6"/>
      <c r="R29" s="6"/>
      <c r="S29" s="6"/>
    </row>
    <row r="30" spans="1:19" ht="16" x14ac:dyDescent="0.2">
      <c r="A30" s="7"/>
      <c r="B30" s="7"/>
      <c r="C30" s="7"/>
      <c r="D30" s="5">
        <v>0.59</v>
      </c>
      <c r="E30" s="2">
        <f t="shared" si="0"/>
        <v>0.59</v>
      </c>
      <c r="F30" s="1" t="s">
        <v>35</v>
      </c>
      <c r="G30" s="7" t="s">
        <v>21</v>
      </c>
      <c r="H30" s="7" t="s">
        <v>26</v>
      </c>
      <c r="I30" s="7"/>
      <c r="J30" s="7"/>
      <c r="K30" s="1">
        <f>(INT(D30)*60+(D30-INT(D30))*100)-(INT($D$2)*60+($D$2-INT($D$2))*100)</f>
        <v>38</v>
      </c>
      <c r="L30" s="1">
        <f>(INT(E30)*60+(E30-INT(E30))*100)-(INT($D$2)*60+($D$2-INT($D$2))*100)</f>
        <v>38</v>
      </c>
      <c r="M30" s="6">
        <f t="shared" si="1"/>
        <v>0</v>
      </c>
      <c r="N30" s="6" t="str">
        <f t="shared" si="2"/>
        <v>&lt;1 second</v>
      </c>
      <c r="O30" s="6" t="s">
        <v>40</v>
      </c>
      <c r="P30" s="1"/>
      <c r="Q30" s="6"/>
      <c r="R30" s="6"/>
      <c r="S30" s="6"/>
    </row>
    <row r="31" spans="1:19" ht="16" x14ac:dyDescent="0.2">
      <c r="A31" s="7"/>
      <c r="B31" s="7"/>
      <c r="C31" s="7"/>
      <c r="D31" s="5">
        <v>0.59</v>
      </c>
      <c r="E31" s="2">
        <f t="shared" si="0"/>
        <v>0.59</v>
      </c>
      <c r="F31" s="7" t="s">
        <v>36</v>
      </c>
      <c r="G31" s="7" t="s">
        <v>20</v>
      </c>
      <c r="H31" s="7" t="s">
        <v>28</v>
      </c>
      <c r="I31" s="7"/>
      <c r="J31" s="7"/>
      <c r="K31" s="1">
        <f>(INT(D31)*60+(D31-INT(D31))*100)-(INT($D$2)*60+($D$2-INT($D$2))*100)</f>
        <v>38</v>
      </c>
      <c r="L31" s="1">
        <f>(INT(E31)*60+(E31-INT(E31))*100)-(INT($D$2)*60+($D$2-INT($D$2))*100)</f>
        <v>38</v>
      </c>
      <c r="M31" s="6">
        <f t="shared" si="1"/>
        <v>0</v>
      </c>
      <c r="N31" s="6" t="str">
        <f t="shared" si="2"/>
        <v>&lt;1 second</v>
      </c>
      <c r="O31" s="6" t="s">
        <v>41</v>
      </c>
      <c r="P31" s="7"/>
      <c r="Q31" s="6"/>
      <c r="R31" s="6"/>
      <c r="S31" s="6"/>
    </row>
    <row r="32" spans="1:19" ht="16" x14ac:dyDescent="0.2">
      <c r="A32" s="7"/>
      <c r="B32" s="7"/>
      <c r="C32" s="7"/>
      <c r="D32" s="5">
        <v>1</v>
      </c>
      <c r="E32" s="2">
        <f t="shared" si="0"/>
        <v>1</v>
      </c>
      <c r="F32" s="7" t="s">
        <v>16</v>
      </c>
      <c r="G32" s="7" t="s">
        <v>21</v>
      </c>
      <c r="H32" s="7" t="s">
        <v>26</v>
      </c>
      <c r="I32" s="7"/>
      <c r="J32" s="7"/>
      <c r="K32" s="1">
        <f>(INT(D32)*60+(D32-INT(D32))*100)-(INT($D$2)*60+($D$2-INT($D$2))*100)</f>
        <v>39</v>
      </c>
      <c r="L32" s="1">
        <f>(INT(E32)*60+(E32-INT(E32))*100)-(INT($D$2)*60+($D$2-INT($D$2))*100)</f>
        <v>39</v>
      </c>
      <c r="M32" s="6">
        <f t="shared" si="1"/>
        <v>0</v>
      </c>
      <c r="N32" s="6" t="str">
        <f t="shared" si="2"/>
        <v>&lt;1 second</v>
      </c>
      <c r="O32" s="6" t="s">
        <v>39</v>
      </c>
      <c r="P32" s="7"/>
      <c r="Q32" s="6"/>
      <c r="R32" s="6"/>
      <c r="S32" s="6"/>
    </row>
    <row r="33" spans="1:19" ht="16" x14ac:dyDescent="0.2">
      <c r="A33" s="7"/>
      <c r="B33" s="7"/>
      <c r="C33" s="7"/>
      <c r="D33" s="5">
        <v>1</v>
      </c>
      <c r="E33" s="2">
        <v>1.01</v>
      </c>
      <c r="F33" s="7" t="s">
        <v>31</v>
      </c>
      <c r="G33" s="7" t="s">
        <v>45</v>
      </c>
      <c r="H33" s="7" t="s">
        <v>27</v>
      </c>
      <c r="I33" s="7"/>
      <c r="J33" s="7"/>
      <c r="K33" s="1">
        <f>(INT(D33)*60+(D33-INT(D33))*100)-(INT($D$2)*60+($D$2-INT($D$2))*100)</f>
        <v>39</v>
      </c>
      <c r="L33" s="1">
        <f>(INT(E33)*60+(E33-INT(E33))*100)-(INT($D$2)*60+($D$2-INT($D$2))*100)</f>
        <v>40</v>
      </c>
      <c r="M33" s="6">
        <f t="shared" si="1"/>
        <v>1</v>
      </c>
      <c r="N33" s="6" t="str">
        <f t="shared" si="2"/>
        <v>&lt;2 seconds</v>
      </c>
      <c r="O33" s="6" t="s">
        <v>42</v>
      </c>
      <c r="P33" s="7"/>
      <c r="Q33" s="6"/>
      <c r="R33" s="6"/>
      <c r="S33" s="6"/>
    </row>
    <row r="34" spans="1:19" ht="16" x14ac:dyDescent="0.2">
      <c r="A34" s="7"/>
      <c r="B34" s="7"/>
      <c r="C34" s="7"/>
      <c r="D34" s="5">
        <v>1.01</v>
      </c>
      <c r="E34" s="2">
        <f t="shared" si="0"/>
        <v>1.01</v>
      </c>
      <c r="F34" s="7" t="s">
        <v>35</v>
      </c>
      <c r="G34" s="7" t="s">
        <v>21</v>
      </c>
      <c r="H34" s="7" t="s">
        <v>26</v>
      </c>
      <c r="I34" s="7"/>
      <c r="J34" s="7"/>
      <c r="K34" s="1">
        <f>(INT(D34)*60+(D34-INT(D34))*100)-(INT($D$2)*60+($D$2-INT($D$2))*100)</f>
        <v>40</v>
      </c>
      <c r="L34" s="1">
        <f>(INT(E34)*60+(E34-INT(E34))*100)-(INT($D$2)*60+($D$2-INT($D$2))*100)</f>
        <v>40</v>
      </c>
      <c r="M34" s="6">
        <f t="shared" si="1"/>
        <v>0</v>
      </c>
      <c r="N34" s="6" t="str">
        <f t="shared" si="2"/>
        <v>&lt;1 second</v>
      </c>
      <c r="O34" s="6" t="s">
        <v>40</v>
      </c>
      <c r="P34" s="7"/>
      <c r="Q34" s="6"/>
      <c r="R34" s="6"/>
      <c r="S34" s="6"/>
    </row>
    <row r="35" spans="1:19" ht="16" x14ac:dyDescent="0.2">
      <c r="A35" s="7"/>
      <c r="B35" s="7"/>
      <c r="C35" s="7"/>
      <c r="D35" s="5">
        <v>1.02</v>
      </c>
      <c r="E35" s="2">
        <f t="shared" si="0"/>
        <v>1.02</v>
      </c>
      <c r="F35" s="7" t="s">
        <v>17</v>
      </c>
      <c r="G35" s="7" t="s">
        <v>25</v>
      </c>
      <c r="H35" s="7" t="s">
        <v>26</v>
      </c>
      <c r="I35" s="7"/>
      <c r="J35" s="7" t="s">
        <v>24</v>
      </c>
      <c r="K35" s="1">
        <f>(INT(D35)*60+(D35-INT(D35))*100)-(INT($D$2)*60+($D$2-INT($D$2))*100)</f>
        <v>41</v>
      </c>
      <c r="L35" s="1">
        <f>(INT(E35)*60+(E35-INT(E35))*100)-(INT($D$2)*60+($D$2-INT($D$2))*100)</f>
        <v>41</v>
      </c>
      <c r="M35" s="6">
        <f t="shared" si="1"/>
        <v>0</v>
      </c>
      <c r="N35" s="6" t="str">
        <f t="shared" si="2"/>
        <v>&lt;1 second</v>
      </c>
      <c r="O35" s="6" t="s">
        <v>40</v>
      </c>
      <c r="P35" s="7"/>
      <c r="Q35" s="6"/>
      <c r="R35" s="6"/>
      <c r="S35" s="6"/>
    </row>
    <row r="36" spans="1:19" ht="16" x14ac:dyDescent="0.2">
      <c r="A36" s="7"/>
      <c r="B36" s="7"/>
      <c r="C36" s="7"/>
      <c r="D36" s="5">
        <v>1.02</v>
      </c>
      <c r="E36" s="2">
        <f t="shared" si="0"/>
        <v>1.02</v>
      </c>
      <c r="F36" s="7" t="s">
        <v>64</v>
      </c>
      <c r="G36" s="7" t="s">
        <v>46</v>
      </c>
      <c r="H36" s="7" t="s">
        <v>26</v>
      </c>
      <c r="I36" s="7"/>
      <c r="J36" s="7" t="s">
        <v>71</v>
      </c>
      <c r="K36" s="1">
        <f>(INT(D36)*60+(D36-INT(D36))*100)-(INT($D$2)*60+($D$2-INT($D$2))*100)</f>
        <v>41</v>
      </c>
      <c r="L36" s="1">
        <f>(INT(E36)*60+(E36-INT(E36))*100)-(INT($D$2)*60+($D$2-INT($D$2))*100)</f>
        <v>41</v>
      </c>
      <c r="M36" s="6">
        <f t="shared" si="1"/>
        <v>0</v>
      </c>
      <c r="N36" s="6" t="str">
        <f t="shared" si="2"/>
        <v>&lt;1 second</v>
      </c>
      <c r="O36" s="6" t="s">
        <v>40</v>
      </c>
      <c r="P36" s="7"/>
      <c r="Q36" s="6"/>
      <c r="R36" s="6"/>
      <c r="S36" s="6"/>
    </row>
    <row r="37" spans="1:19" ht="16" x14ac:dyDescent="0.2">
      <c r="A37" s="7"/>
      <c r="B37" s="7"/>
      <c r="C37" s="7"/>
      <c r="D37" s="5">
        <v>1.02</v>
      </c>
      <c r="E37" s="2">
        <v>1.03</v>
      </c>
      <c r="F37" s="7" t="s">
        <v>36</v>
      </c>
      <c r="G37" s="7" t="s">
        <v>20</v>
      </c>
      <c r="H37" s="7" t="s">
        <v>28</v>
      </c>
      <c r="I37" s="7"/>
      <c r="J37" s="7"/>
      <c r="K37" s="1">
        <f>(INT(D37)*60+(D37-INT(D37))*100)-(INT($D$2)*60+($D$2-INT($D$2))*100)</f>
        <v>41</v>
      </c>
      <c r="L37" s="1">
        <f>(INT(E37)*60+(E37-INT(E37))*100)-(INT($D$2)*60+($D$2-INT($D$2))*100)</f>
        <v>42</v>
      </c>
      <c r="M37" s="6">
        <f t="shared" si="1"/>
        <v>1</v>
      </c>
      <c r="N37" s="6" t="str">
        <f t="shared" si="2"/>
        <v>&lt;2 seconds</v>
      </c>
      <c r="O37" s="6" t="s">
        <v>41</v>
      </c>
      <c r="P37" s="7"/>
      <c r="Q37" s="6"/>
      <c r="R37" s="6"/>
      <c r="S37" s="6"/>
    </row>
    <row r="38" spans="1:19" ht="16" x14ac:dyDescent="0.2">
      <c r="A38" s="7"/>
      <c r="B38" s="7"/>
      <c r="C38" s="7"/>
      <c r="D38" s="5">
        <v>1.03</v>
      </c>
      <c r="E38" s="2">
        <f t="shared" si="0"/>
        <v>1.03</v>
      </c>
      <c r="F38" s="7" t="s">
        <v>72</v>
      </c>
      <c r="G38" s="7" t="s">
        <v>49</v>
      </c>
      <c r="H38" s="7" t="s">
        <v>26</v>
      </c>
      <c r="I38" s="7"/>
      <c r="J38" s="7" t="s">
        <v>73</v>
      </c>
      <c r="K38" s="1">
        <f>(INT(D38)*60+(D38-INT(D38))*100)-(INT($D$2)*60+($D$2-INT($D$2))*100)</f>
        <v>42</v>
      </c>
      <c r="L38" s="1">
        <f>(INT(E38)*60+(E38-INT(E38))*100)-(INT($D$2)*60+($D$2-INT($D$2))*100)</f>
        <v>42</v>
      </c>
      <c r="M38" s="6">
        <f t="shared" si="1"/>
        <v>0</v>
      </c>
      <c r="N38" s="6" t="str">
        <f t="shared" si="2"/>
        <v>&lt;1 second</v>
      </c>
      <c r="O38" s="6" t="s">
        <v>41</v>
      </c>
      <c r="P38" s="7"/>
      <c r="Q38" s="6"/>
      <c r="R38" s="6"/>
      <c r="S38" s="6"/>
    </row>
    <row r="39" spans="1:19" ht="16" x14ac:dyDescent="0.2">
      <c r="A39" s="7"/>
      <c r="B39" s="7"/>
      <c r="C39" s="7"/>
      <c r="D39" s="5">
        <v>1.03</v>
      </c>
      <c r="E39" s="2">
        <v>1.05</v>
      </c>
      <c r="F39" s="7" t="s">
        <v>55</v>
      </c>
      <c r="G39" s="7" t="s">
        <v>22</v>
      </c>
      <c r="H39" s="7" t="s">
        <v>26</v>
      </c>
      <c r="I39" s="7"/>
      <c r="J39" s="7" t="s">
        <v>74</v>
      </c>
      <c r="K39" s="1">
        <f>(INT(D39)*60+(D39-INT(D39))*100)-(INT($D$2)*60+($D$2-INT($D$2))*100)</f>
        <v>42</v>
      </c>
      <c r="L39" s="1">
        <f>(INT(E39)*60+(E39-INT(E39))*100)-(INT($D$2)*60+($D$2-INT($D$2))*100)</f>
        <v>44</v>
      </c>
      <c r="M39" s="6">
        <f t="shared" si="1"/>
        <v>2</v>
      </c>
      <c r="N39" s="6" t="str">
        <f t="shared" si="2"/>
        <v>&lt;3 seconds</v>
      </c>
      <c r="O39" s="6" t="s">
        <v>40</v>
      </c>
      <c r="P39" s="7"/>
      <c r="Q39" s="6"/>
      <c r="R39" s="6"/>
      <c r="S39" s="6"/>
    </row>
    <row r="40" spans="1:19" ht="16" x14ac:dyDescent="0.2">
      <c r="A40" s="7"/>
      <c r="B40" s="7"/>
      <c r="C40" s="7"/>
      <c r="D40" s="5">
        <v>1.06</v>
      </c>
      <c r="E40" s="2">
        <v>1.08</v>
      </c>
      <c r="F40" s="7" t="s">
        <v>55</v>
      </c>
      <c r="G40" s="7" t="s">
        <v>44</v>
      </c>
      <c r="H40" s="7" t="s">
        <v>26</v>
      </c>
      <c r="I40" s="7"/>
      <c r="J40" s="7" t="s">
        <v>75</v>
      </c>
      <c r="K40" s="1">
        <f>(INT(D40)*60+(D40-INT(D40))*100)-(INT($D$2)*60+($D$2-INT($D$2))*100)</f>
        <v>45</v>
      </c>
      <c r="L40" s="1">
        <f>(INT(E40)*60+(E40-INT(E40))*100)-(INT($D$2)*60+($D$2-INT($D$2))*100)</f>
        <v>47</v>
      </c>
      <c r="M40" s="6">
        <f t="shared" si="1"/>
        <v>2</v>
      </c>
      <c r="N40" s="6" t="str">
        <f t="shared" si="2"/>
        <v>&lt;3 seconds</v>
      </c>
      <c r="O40" s="6" t="s">
        <v>40</v>
      </c>
      <c r="P40" s="7"/>
      <c r="Q40" s="6"/>
      <c r="R40" s="6"/>
      <c r="S40" s="6"/>
    </row>
    <row r="41" spans="1:19" ht="16" x14ac:dyDescent="0.2">
      <c r="A41" s="7"/>
      <c r="B41" s="7"/>
      <c r="C41" s="7"/>
      <c r="D41" s="5">
        <v>1.08</v>
      </c>
      <c r="E41" s="2">
        <v>1.0900000000000001</v>
      </c>
      <c r="F41" s="7" t="s">
        <v>14</v>
      </c>
      <c r="G41" s="7" t="s">
        <v>45</v>
      </c>
      <c r="H41" s="7" t="s">
        <v>26</v>
      </c>
      <c r="I41" s="7"/>
      <c r="J41" s="7"/>
      <c r="K41" s="1">
        <f>(INT(D41)*60+(D41-INT(D41))*100)-(INT($D$2)*60+($D$2-INT($D$2))*100)</f>
        <v>47</v>
      </c>
      <c r="L41" s="1">
        <f>(INT(E41)*60+(E41-INT(E41))*100)-(INT($D$2)*60+($D$2-INT($D$2))*100)</f>
        <v>48</v>
      </c>
      <c r="M41" s="6">
        <f t="shared" si="1"/>
        <v>1</v>
      </c>
      <c r="N41" s="6" t="str">
        <f t="shared" si="2"/>
        <v>&lt;2 seconds</v>
      </c>
      <c r="O41" s="6" t="s">
        <v>41</v>
      </c>
      <c r="P41" s="7"/>
      <c r="Q41" s="6"/>
      <c r="R41" s="6"/>
      <c r="S41" s="6"/>
    </row>
    <row r="42" spans="1:19" ht="16" x14ac:dyDescent="0.2">
      <c r="A42" s="7"/>
      <c r="B42" s="7"/>
      <c r="C42" s="7"/>
      <c r="D42" s="5">
        <v>1.0900000000000001</v>
      </c>
      <c r="E42" s="2">
        <f t="shared" si="0"/>
        <v>1.0900000000000001</v>
      </c>
      <c r="F42" s="7" t="s">
        <v>15</v>
      </c>
      <c r="G42" s="7" t="s">
        <v>21</v>
      </c>
      <c r="H42" s="7" t="s">
        <v>26</v>
      </c>
      <c r="I42" s="7"/>
      <c r="J42" s="7"/>
      <c r="K42" s="1">
        <f>(INT(D42)*60+(D42-INT(D42))*100)-(INT($D$2)*60+($D$2-INT($D$2))*100)</f>
        <v>48</v>
      </c>
      <c r="L42" s="1">
        <f>(INT(E42)*60+(E42-INT(E42))*100)-(INT($D$2)*60+($D$2-INT($D$2))*100)</f>
        <v>48</v>
      </c>
      <c r="M42" s="6">
        <f t="shared" si="1"/>
        <v>0</v>
      </c>
      <c r="N42" s="6" t="str">
        <f t="shared" si="2"/>
        <v>&lt;1 second</v>
      </c>
      <c r="O42" s="6" t="s">
        <v>39</v>
      </c>
      <c r="P42" s="7"/>
      <c r="Q42" s="6"/>
      <c r="R42" s="6"/>
      <c r="S42" s="6"/>
    </row>
    <row r="43" spans="1:19" ht="16" x14ac:dyDescent="0.2">
      <c r="A43" s="7"/>
      <c r="B43" s="7"/>
      <c r="C43" s="7"/>
      <c r="D43" s="5">
        <v>1.1000000000000001</v>
      </c>
      <c r="E43" s="2">
        <f t="shared" si="0"/>
        <v>1.1000000000000001</v>
      </c>
      <c r="F43" s="7" t="s">
        <v>37</v>
      </c>
      <c r="G43" s="7" t="s">
        <v>53</v>
      </c>
      <c r="H43" s="7" t="s">
        <v>27</v>
      </c>
      <c r="I43" s="7"/>
      <c r="J43" s="7"/>
      <c r="K43" s="1">
        <f>(INT(D43)*60+(D43-INT(D43))*100)-(INT($D$2)*60+($D$2-INT($D$2))*100)</f>
        <v>49.000000000000014</v>
      </c>
      <c r="L43" s="1">
        <f>(INT(E43)*60+(E43-INT(E43))*100)-(INT($D$2)*60+($D$2-INT($D$2))*100)</f>
        <v>49.000000000000014</v>
      </c>
      <c r="M43" s="6">
        <f t="shared" si="1"/>
        <v>0</v>
      </c>
      <c r="N43" s="6" t="str">
        <f t="shared" si="2"/>
        <v>&lt;1 second</v>
      </c>
      <c r="O43" s="6" t="s">
        <v>40</v>
      </c>
      <c r="P43" s="7"/>
      <c r="Q43" s="6"/>
      <c r="R43" s="6"/>
      <c r="S43" s="6"/>
    </row>
    <row r="44" spans="1:19" ht="16" x14ac:dyDescent="0.2">
      <c r="A44" s="7"/>
      <c r="B44" s="7"/>
      <c r="C44" s="7"/>
      <c r="D44" s="5">
        <v>1.1000000000000001</v>
      </c>
      <c r="E44" s="2">
        <v>1.1100000000000001</v>
      </c>
      <c r="F44" s="7" t="s">
        <v>12</v>
      </c>
      <c r="G44" s="7" t="s">
        <v>44</v>
      </c>
      <c r="H44" s="7" t="s">
        <v>29</v>
      </c>
      <c r="I44" s="7"/>
      <c r="J44" s="7" t="s">
        <v>76</v>
      </c>
      <c r="K44" s="1">
        <f>(INT(D44)*60+(D44-INT(D44))*100)-(INT($D$2)*60+($D$2-INT($D$2))*100)</f>
        <v>49.000000000000014</v>
      </c>
      <c r="L44" s="1">
        <f>(INT(E44)*60+(E44-INT(E44))*100)-(INT($D$2)*60+($D$2-INT($D$2))*100)</f>
        <v>50.000000000000014</v>
      </c>
      <c r="M44" s="6">
        <f t="shared" si="1"/>
        <v>1</v>
      </c>
      <c r="N44" s="6" t="str">
        <f t="shared" si="2"/>
        <v>&lt;2 seconds</v>
      </c>
      <c r="O44" s="6" t="s">
        <v>40</v>
      </c>
      <c r="P44" s="7"/>
      <c r="Q44" s="6"/>
      <c r="R44" s="6"/>
      <c r="S44" s="6"/>
    </row>
    <row r="45" spans="1:19" ht="16" x14ac:dyDescent="0.2">
      <c r="A45" s="7"/>
      <c r="B45" s="7"/>
      <c r="C45" s="7"/>
      <c r="D45" s="5">
        <v>1.1100000000000001</v>
      </c>
      <c r="E45" s="2">
        <f t="shared" si="0"/>
        <v>1.1100000000000001</v>
      </c>
      <c r="F45" s="7" t="s">
        <v>35</v>
      </c>
      <c r="G45" s="7" t="s">
        <v>21</v>
      </c>
      <c r="H45" s="7" t="s">
        <v>26</v>
      </c>
      <c r="I45" s="7"/>
      <c r="J45" s="7"/>
      <c r="K45" s="1">
        <f>(INT(D45)*60+(D45-INT(D45))*100)-(INT($D$2)*60+($D$2-INT($D$2))*100)</f>
        <v>50.000000000000014</v>
      </c>
      <c r="L45" s="1">
        <f>(INT(E45)*60+(E45-INT(E45))*100)-(INT($D$2)*60+($D$2-INT($D$2))*100)</f>
        <v>50.000000000000014</v>
      </c>
      <c r="M45" s="6">
        <f t="shared" si="1"/>
        <v>0</v>
      </c>
      <c r="N45" s="6" t="str">
        <f t="shared" si="2"/>
        <v>&lt;1 second</v>
      </c>
      <c r="O45" s="6" t="s">
        <v>40</v>
      </c>
      <c r="P45" s="7"/>
      <c r="Q45" s="6"/>
      <c r="R45" s="6"/>
      <c r="S45" s="6"/>
    </row>
    <row r="46" spans="1:19" ht="16" x14ac:dyDescent="0.2">
      <c r="A46" s="7"/>
      <c r="B46" s="7"/>
      <c r="C46" s="7"/>
      <c r="D46" s="5">
        <v>1.1100000000000001</v>
      </c>
      <c r="E46" s="2">
        <f t="shared" si="0"/>
        <v>1.1100000000000001</v>
      </c>
      <c r="F46" s="7" t="s">
        <v>16</v>
      </c>
      <c r="G46" s="7" t="s">
        <v>21</v>
      </c>
      <c r="H46" s="7" t="s">
        <v>26</v>
      </c>
      <c r="I46" s="7"/>
      <c r="J46" s="7"/>
      <c r="K46" s="1">
        <f>(INT(D46)*60+(D46-INT(D46))*100)-(INT($D$2)*60+($D$2-INT($D$2))*100)</f>
        <v>50.000000000000014</v>
      </c>
      <c r="L46" s="1">
        <f>(INT(E46)*60+(E46-INT(E46))*100)-(INT($D$2)*60+($D$2-INT($D$2))*100)</f>
        <v>50.000000000000014</v>
      </c>
      <c r="M46" s="6">
        <f t="shared" si="1"/>
        <v>0</v>
      </c>
      <c r="N46" s="6" t="str">
        <f t="shared" si="2"/>
        <v>&lt;1 second</v>
      </c>
      <c r="O46" s="6" t="s">
        <v>39</v>
      </c>
      <c r="P46" s="7"/>
      <c r="Q46" s="6"/>
      <c r="R46" s="6"/>
      <c r="S46" s="6"/>
    </row>
    <row r="47" spans="1:19" ht="16" x14ac:dyDescent="0.2">
      <c r="A47" s="7"/>
      <c r="B47" s="7"/>
      <c r="C47" s="7"/>
      <c r="D47" s="5">
        <v>1.1299999999999999</v>
      </c>
      <c r="E47" s="2">
        <v>1.1399999999999999</v>
      </c>
      <c r="F47" s="7" t="s">
        <v>12</v>
      </c>
      <c r="G47" s="7" t="s">
        <v>44</v>
      </c>
      <c r="H47" s="7" t="s">
        <v>26</v>
      </c>
      <c r="I47" s="7"/>
      <c r="J47" s="7" t="s">
        <v>74</v>
      </c>
      <c r="K47" s="1">
        <f>(INT(D47)*60+(D47-INT(D47))*100)-(INT($D$2)*60+($D$2-INT($D$2))*100)</f>
        <v>51.999999999999986</v>
      </c>
      <c r="L47" s="1">
        <f>(INT(E47)*60+(E47-INT(E47))*100)-(INT($D$2)*60+($D$2-INT($D$2))*100)</f>
        <v>52.999999999999986</v>
      </c>
      <c r="M47" s="6">
        <f t="shared" si="1"/>
        <v>1</v>
      </c>
      <c r="N47" s="6" t="str">
        <f t="shared" si="2"/>
        <v>&lt;2 seconds</v>
      </c>
      <c r="O47" s="6" t="s">
        <v>40</v>
      </c>
      <c r="P47" s="7"/>
      <c r="Q47" s="6"/>
      <c r="R47" s="6"/>
      <c r="S47" s="6"/>
    </row>
    <row r="48" spans="1:19" ht="16" x14ac:dyDescent="0.2">
      <c r="A48" s="7"/>
      <c r="B48" s="7"/>
      <c r="C48" s="7"/>
      <c r="D48" s="5">
        <v>1.1499999999999999</v>
      </c>
      <c r="E48" s="2">
        <f t="shared" si="0"/>
        <v>1.1499999999999999</v>
      </c>
      <c r="F48" s="7" t="s">
        <v>18</v>
      </c>
      <c r="G48" s="7" t="s">
        <v>21</v>
      </c>
      <c r="H48" s="7" t="s">
        <v>26</v>
      </c>
      <c r="I48" s="7"/>
      <c r="J48" s="7"/>
      <c r="K48" s="1">
        <f>(INT(D48)*60+(D48-INT(D48))*100)-(INT($D$2)*60+($D$2-INT($D$2))*100)</f>
        <v>53.999999999999986</v>
      </c>
      <c r="L48" s="1">
        <f>(INT(E48)*60+(E48-INT(E48))*100)-(INT($D$2)*60+($D$2-INT($D$2))*100)</f>
        <v>53.999999999999986</v>
      </c>
      <c r="M48" s="6">
        <f t="shared" si="1"/>
        <v>0</v>
      </c>
      <c r="N48" s="6" t="str">
        <f t="shared" si="2"/>
        <v>&lt;1 second</v>
      </c>
      <c r="O48" s="6" t="s">
        <v>39</v>
      </c>
      <c r="P48" s="7"/>
      <c r="Q48" s="6"/>
      <c r="R48" s="6"/>
      <c r="S48" s="6"/>
    </row>
    <row r="49" spans="1:19" ht="16" x14ac:dyDescent="0.2">
      <c r="A49" s="7"/>
      <c r="B49" s="7"/>
      <c r="C49" s="7"/>
      <c r="D49" s="5">
        <v>1.1499999999999999</v>
      </c>
      <c r="E49" s="2">
        <v>1.18</v>
      </c>
      <c r="F49" s="7" t="s">
        <v>78</v>
      </c>
      <c r="G49" s="7" t="s">
        <v>79</v>
      </c>
      <c r="H49" s="7" t="s">
        <v>26</v>
      </c>
      <c r="I49" s="7"/>
      <c r="J49" s="7" t="s">
        <v>77</v>
      </c>
      <c r="K49" s="1">
        <f>(INT(D49)*60+(D49-INT(D49))*100)-(INT($D$2)*60+($D$2-INT($D$2))*100)</f>
        <v>53.999999999999986</v>
      </c>
      <c r="L49" s="1">
        <f>(INT(E49)*60+(E49-INT(E49))*100)-(INT($D$2)*60+($D$2-INT($D$2))*100)</f>
        <v>57</v>
      </c>
      <c r="M49" s="6">
        <f t="shared" si="1"/>
        <v>3.0000000000000142</v>
      </c>
      <c r="N49" s="6" t="str">
        <f t="shared" si="2"/>
        <v>&lt;4 seconds</v>
      </c>
      <c r="O49" s="6" t="s">
        <v>40</v>
      </c>
      <c r="P49" s="7" t="s">
        <v>87</v>
      </c>
      <c r="Q49" s="6"/>
      <c r="R49" s="6"/>
      <c r="S49" s="6"/>
    </row>
    <row r="50" spans="1:19" ht="16" x14ac:dyDescent="0.2">
      <c r="A50" s="7"/>
      <c r="B50" s="7"/>
      <c r="C50" s="7"/>
      <c r="D50" s="5">
        <v>1.19</v>
      </c>
      <c r="E50" s="2">
        <v>1.2</v>
      </c>
      <c r="F50" s="7" t="s">
        <v>36</v>
      </c>
      <c r="G50" s="7" t="s">
        <v>20</v>
      </c>
      <c r="H50" s="7" t="s">
        <v>28</v>
      </c>
      <c r="I50" s="7"/>
      <c r="J50" s="7"/>
      <c r="K50" s="1">
        <f>(INT(D50)*60+(D50-INT(D50))*100)-(INT($D$2)*60+($D$2-INT($D$2))*100)</f>
        <v>58</v>
      </c>
      <c r="L50" s="1">
        <f>(INT(E50)*60+(E50-INT(E50))*100)-(INT($D$2)*60+($D$2-INT($D$2))*100)</f>
        <v>59</v>
      </c>
      <c r="M50" s="6">
        <f t="shared" si="1"/>
        <v>1</v>
      </c>
      <c r="N50" s="6" t="str">
        <f t="shared" si="2"/>
        <v>&lt;2 seconds</v>
      </c>
      <c r="O50" s="6" t="s">
        <v>41</v>
      </c>
      <c r="P50" s="7"/>
      <c r="Q50" s="6"/>
      <c r="R50" s="6"/>
      <c r="S50" s="6"/>
    </row>
    <row r="51" spans="1:19" ht="16" x14ac:dyDescent="0.2">
      <c r="A51" s="7"/>
      <c r="B51" s="7"/>
      <c r="C51" s="7"/>
      <c r="D51" s="5">
        <v>1.2</v>
      </c>
      <c r="E51" s="2">
        <f t="shared" si="0"/>
        <v>1.2</v>
      </c>
      <c r="F51" s="7" t="s">
        <v>64</v>
      </c>
      <c r="G51" s="7" t="s">
        <v>46</v>
      </c>
      <c r="H51" s="7" t="s">
        <v>26</v>
      </c>
      <c r="I51" s="7"/>
      <c r="J51" s="7" t="s">
        <v>71</v>
      </c>
      <c r="K51" s="1">
        <f>(INT(D51)*60+(D51-INT(D51))*100)-(INT($D$2)*60+($D$2-INT($D$2))*100)</f>
        <v>59</v>
      </c>
      <c r="L51" s="1">
        <f>(INT(E51)*60+(E51-INT(E51))*100)-(INT($D$2)*60+($D$2-INT($D$2))*100)</f>
        <v>59</v>
      </c>
      <c r="M51" s="6">
        <f t="shared" si="1"/>
        <v>0</v>
      </c>
      <c r="N51" s="6" t="str">
        <f t="shared" si="2"/>
        <v>&lt;1 second</v>
      </c>
      <c r="O51" s="6" t="s">
        <v>40</v>
      </c>
      <c r="P51" s="7"/>
      <c r="Q51" s="6"/>
      <c r="R51" s="6"/>
      <c r="S51" s="6"/>
    </row>
    <row r="52" spans="1:19" ht="16" x14ac:dyDescent="0.2">
      <c r="A52" s="6"/>
      <c r="B52" s="6"/>
      <c r="C52" s="6"/>
      <c r="D52" s="9">
        <v>1.21</v>
      </c>
      <c r="E52" s="2">
        <f t="shared" si="0"/>
        <v>1.21</v>
      </c>
      <c r="F52" s="7" t="s">
        <v>80</v>
      </c>
      <c r="G52" s="7" t="s">
        <v>49</v>
      </c>
      <c r="H52" s="6" t="s">
        <v>26</v>
      </c>
      <c r="I52" s="6"/>
      <c r="J52" s="7" t="s">
        <v>73</v>
      </c>
      <c r="K52" s="1">
        <f>(INT(D52)*60+(D52-INT(D52))*100)-(INT($D$2)*60+($D$2-INT($D$2))*100)</f>
        <v>60</v>
      </c>
      <c r="L52" s="1">
        <f>(INT(E52)*60+(E52-INT(E52))*100)-(INT($D$2)*60+($D$2-INT($D$2))*100)</f>
        <v>60</v>
      </c>
      <c r="M52" s="6">
        <f t="shared" si="1"/>
        <v>0</v>
      </c>
      <c r="N52" s="6" t="str">
        <f t="shared" si="2"/>
        <v>&lt;1 second</v>
      </c>
      <c r="O52" s="6" t="s">
        <v>39</v>
      </c>
      <c r="P52" s="7"/>
      <c r="Q52" s="6"/>
      <c r="R52" s="6"/>
      <c r="S52" s="6"/>
    </row>
    <row r="53" spans="1:19" ht="16" x14ac:dyDescent="0.2">
      <c r="E53" s="2"/>
      <c r="K53" s="1"/>
      <c r="L53" s="1"/>
    </row>
    <row r="54" spans="1:19" ht="16" x14ac:dyDescent="0.2">
      <c r="E54" s="2"/>
      <c r="K54" s="1"/>
      <c r="L54" s="1"/>
    </row>
    <row r="55" spans="1:19" ht="16" x14ac:dyDescent="0.2">
      <c r="E55" s="2"/>
      <c r="K55" s="1"/>
      <c r="L55" s="1"/>
    </row>
    <row r="56" spans="1:19" ht="16" x14ac:dyDescent="0.2">
      <c r="E56" s="2"/>
      <c r="K56" s="1"/>
      <c r="L56" s="1"/>
    </row>
    <row r="57" spans="1:19" ht="16" x14ac:dyDescent="0.2">
      <c r="E57" s="2"/>
      <c r="K57" s="1"/>
      <c r="L57" s="1"/>
    </row>
    <row r="58" spans="1:19" ht="16" x14ac:dyDescent="0.2">
      <c r="E58" s="2"/>
      <c r="K58" s="1"/>
      <c r="L58" s="1"/>
    </row>
    <row r="59" spans="1:19" ht="16" x14ac:dyDescent="0.2">
      <c r="E59" s="2"/>
      <c r="K59" s="1"/>
      <c r="L59" s="1"/>
    </row>
    <row r="60" spans="1:19" ht="16" x14ac:dyDescent="0.2">
      <c r="E60" s="2"/>
      <c r="K60" s="1"/>
      <c r="L60" s="1"/>
    </row>
    <row r="61" spans="1:19" ht="16" x14ac:dyDescent="0.2">
      <c r="E61" s="2"/>
      <c r="K61" s="1"/>
      <c r="L61" s="1"/>
    </row>
    <row r="62" spans="1:19" ht="16" x14ac:dyDescent="0.2">
      <c r="E62" s="2"/>
      <c r="K62" s="1"/>
      <c r="L62" s="1"/>
    </row>
    <row r="63" spans="1:19" ht="16" x14ac:dyDescent="0.2">
      <c r="E63" s="2"/>
      <c r="K63" s="1"/>
      <c r="L63" s="1"/>
    </row>
    <row r="64" spans="1:19" ht="16" x14ac:dyDescent="0.2">
      <c r="E64" s="2"/>
      <c r="K64" s="1"/>
      <c r="L64" s="1"/>
    </row>
    <row r="65" spans="5:12" ht="16" x14ac:dyDescent="0.2">
      <c r="E65" s="2"/>
      <c r="K65" s="1"/>
      <c r="L65" s="1"/>
    </row>
    <row r="66" spans="5:12" ht="16" x14ac:dyDescent="0.2">
      <c r="E66" s="2"/>
      <c r="K66" s="1"/>
      <c r="L66" s="1"/>
    </row>
    <row r="67" spans="5:12" ht="16" x14ac:dyDescent="0.2">
      <c r="E67" s="2"/>
      <c r="K67" s="1"/>
      <c r="L67" s="1"/>
    </row>
    <row r="68" spans="5:12" ht="16" x14ac:dyDescent="0.2">
      <c r="E68" s="2"/>
      <c r="K68" s="1"/>
      <c r="L68" s="1"/>
    </row>
    <row r="69" spans="5:12" ht="16" x14ac:dyDescent="0.2">
      <c r="E69" s="2"/>
      <c r="K69" s="1"/>
      <c r="L69" s="1"/>
    </row>
    <row r="70" spans="5:12" ht="16" x14ac:dyDescent="0.2">
      <c r="E70" s="2"/>
      <c r="K70" s="1"/>
      <c r="L70" s="1"/>
    </row>
    <row r="71" spans="5:12" ht="16" x14ac:dyDescent="0.2">
      <c r="E71" s="2"/>
      <c r="K71" s="1"/>
      <c r="L71" s="1"/>
    </row>
    <row r="72" spans="5:12" ht="16" x14ac:dyDescent="0.2">
      <c r="E72" s="2"/>
      <c r="K72" s="1"/>
      <c r="L72" s="1"/>
    </row>
    <row r="73" spans="5:12" ht="16" x14ac:dyDescent="0.2">
      <c r="E73" s="2"/>
      <c r="K73" s="1"/>
      <c r="L73" s="1"/>
    </row>
    <row r="74" spans="5:12" ht="16" x14ac:dyDescent="0.2">
      <c r="E74" s="2"/>
      <c r="K74" s="1"/>
      <c r="L74" s="1"/>
    </row>
    <row r="75" spans="5:12" ht="16" x14ac:dyDescent="0.2">
      <c r="E75" s="2"/>
      <c r="K75" s="1"/>
      <c r="L75" s="1"/>
    </row>
    <row r="76" spans="5:12" ht="16" x14ac:dyDescent="0.2">
      <c r="E76" s="2"/>
      <c r="K76" s="1"/>
      <c r="L76" s="1"/>
    </row>
    <row r="77" spans="5:12" ht="16" x14ac:dyDescent="0.2">
      <c r="E77" s="2"/>
      <c r="K77" s="1"/>
      <c r="L77" s="1"/>
    </row>
    <row r="78" spans="5:12" ht="16" x14ac:dyDescent="0.2">
      <c r="E78" s="2"/>
      <c r="K78" s="1"/>
      <c r="L78" s="1"/>
    </row>
    <row r="79" spans="5:12" ht="16" x14ac:dyDescent="0.2">
      <c r="E79" s="2"/>
      <c r="K79" s="1"/>
      <c r="L79" s="1"/>
    </row>
    <row r="80" spans="5:12" ht="16" x14ac:dyDescent="0.2">
      <c r="E80" s="2"/>
      <c r="K80" s="1"/>
      <c r="L80" s="1"/>
    </row>
    <row r="81" spans="5:12" ht="16" x14ac:dyDescent="0.2">
      <c r="E81" s="2"/>
      <c r="K81" s="1"/>
      <c r="L81" s="1"/>
    </row>
    <row r="82" spans="5:12" ht="16" x14ac:dyDescent="0.2">
      <c r="E82" s="2"/>
      <c r="K82" s="1"/>
      <c r="L82" s="1"/>
    </row>
    <row r="83" spans="5:12" ht="16" x14ac:dyDescent="0.2">
      <c r="E83" s="2"/>
      <c r="K83" s="1"/>
      <c r="L83" s="1"/>
    </row>
    <row r="84" spans="5:12" ht="16" x14ac:dyDescent="0.2">
      <c r="E84" s="2"/>
      <c r="K84" s="1"/>
      <c r="L84" s="1"/>
    </row>
    <row r="85" spans="5:12" ht="16" x14ac:dyDescent="0.2">
      <c r="E85" s="2"/>
      <c r="K85" s="1"/>
      <c r="L85" s="1"/>
    </row>
    <row r="86" spans="5:12" ht="16" x14ac:dyDescent="0.2">
      <c r="E86" s="2"/>
      <c r="K86" s="1"/>
      <c r="L86" s="1"/>
    </row>
    <row r="87" spans="5:12" ht="16" x14ac:dyDescent="0.2">
      <c r="E87" s="2"/>
      <c r="K87" s="1"/>
      <c r="L87" s="1"/>
    </row>
    <row r="88" spans="5:12" ht="16" x14ac:dyDescent="0.2">
      <c r="E88" s="2"/>
      <c r="K88" s="1"/>
      <c r="L88" s="1"/>
    </row>
    <row r="89" spans="5:12" ht="16" x14ac:dyDescent="0.2">
      <c r="E89" s="2"/>
      <c r="K89" s="1"/>
      <c r="L89" s="1"/>
    </row>
    <row r="90" spans="5:12" ht="16" x14ac:dyDescent="0.2">
      <c r="E90" s="2"/>
      <c r="K90" s="1"/>
      <c r="L90" s="1"/>
    </row>
    <row r="91" spans="5:12" ht="16" x14ac:dyDescent="0.2">
      <c r="E91" s="2"/>
      <c r="K91" s="1"/>
      <c r="L91" s="1"/>
    </row>
    <row r="92" spans="5:12" ht="16" x14ac:dyDescent="0.2">
      <c r="E92" s="2"/>
      <c r="K92" s="1"/>
      <c r="L92" s="1"/>
    </row>
    <row r="93" spans="5:12" ht="16" x14ac:dyDescent="0.2">
      <c r="E93" s="2"/>
      <c r="K93" s="1"/>
      <c r="L93" s="1"/>
    </row>
    <row r="94" spans="5:12" ht="16" x14ac:dyDescent="0.2">
      <c r="E94" s="2"/>
      <c r="K94" s="1"/>
      <c r="L94" s="1"/>
    </row>
    <row r="95" spans="5:12" ht="16" x14ac:dyDescent="0.2">
      <c r="E95" s="2"/>
      <c r="K95" s="1"/>
      <c r="L95" s="1"/>
    </row>
    <row r="96" spans="5:12" ht="16" x14ac:dyDescent="0.2">
      <c r="E96" s="2"/>
      <c r="K96" s="1"/>
      <c r="L96" s="1"/>
    </row>
    <row r="97" spans="5:12" ht="16" x14ac:dyDescent="0.2">
      <c r="E97" s="2"/>
      <c r="K97" s="1"/>
      <c r="L97" s="1"/>
    </row>
    <row r="98" spans="5:12" ht="16" x14ac:dyDescent="0.2">
      <c r="E98" s="2"/>
      <c r="K98" s="1"/>
      <c r="L98" s="1"/>
    </row>
    <row r="99" spans="5:12" ht="16" x14ac:dyDescent="0.2">
      <c r="E99" s="2"/>
      <c r="K99" s="1"/>
      <c r="L99" s="1"/>
    </row>
    <row r="100" spans="5:12" ht="16" x14ac:dyDescent="0.2">
      <c r="E100" s="2"/>
      <c r="K100" s="1"/>
      <c r="L100" s="1"/>
    </row>
    <row r="101" spans="5:12" ht="16" x14ac:dyDescent="0.2">
      <c r="E101" s="2"/>
      <c r="K101" s="1"/>
      <c r="L101" s="1"/>
    </row>
    <row r="102" spans="5:12" ht="16" x14ac:dyDescent="0.2">
      <c r="E102" s="2"/>
      <c r="K102" s="1"/>
      <c r="L102" s="1"/>
    </row>
    <row r="103" spans="5:12" ht="16" x14ac:dyDescent="0.2">
      <c r="E103" s="2"/>
      <c r="K103" s="1"/>
      <c r="L103" s="1"/>
    </row>
    <row r="104" spans="5:12" ht="16" x14ac:dyDescent="0.2">
      <c r="E104" s="2"/>
      <c r="K104" s="1"/>
      <c r="L104" s="1"/>
    </row>
    <row r="105" spans="5:12" ht="16" x14ac:dyDescent="0.2">
      <c r="E105" s="2"/>
      <c r="K105" s="1"/>
      <c r="L105" s="1"/>
    </row>
    <row r="106" spans="5:12" ht="16" x14ac:dyDescent="0.2">
      <c r="E106" s="2"/>
      <c r="K106" s="1"/>
      <c r="L106" s="1"/>
    </row>
    <row r="107" spans="5:12" ht="16" x14ac:dyDescent="0.2">
      <c r="E107" s="2"/>
      <c r="K107" s="1"/>
      <c r="L107" s="1"/>
    </row>
    <row r="108" spans="5:12" ht="16" x14ac:dyDescent="0.2">
      <c r="E108" s="2"/>
      <c r="K108" s="1"/>
      <c r="L108" s="1"/>
    </row>
    <row r="109" spans="5:12" ht="16" x14ac:dyDescent="0.2">
      <c r="E109" s="2"/>
      <c r="K109" s="1"/>
      <c r="L109" s="1"/>
    </row>
    <row r="110" spans="5:12" ht="16" x14ac:dyDescent="0.2">
      <c r="E110" s="2"/>
      <c r="K110" s="1"/>
      <c r="L110" s="1"/>
    </row>
    <row r="111" spans="5:12" ht="16" x14ac:dyDescent="0.2">
      <c r="E111" s="2"/>
    </row>
  </sheetData>
  <hyperlinks>
    <hyperlink ref="B2" r:id="rId1" xr:uid="{76CB619A-5AF3-1547-9561-FBC2E5CEBCAD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Talbot, Marci</cp:lastModifiedBy>
  <dcterms:created xsi:type="dcterms:W3CDTF">2026-05-05T19:22:30Z</dcterms:created>
  <dcterms:modified xsi:type="dcterms:W3CDTF">2026-05-09T12:20:41Z</dcterms:modified>
</cp:coreProperties>
</file>